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30" firstSheet="1" activeTab="2"/>
  </bookViews>
  <sheets>
    <sheet name="Datos" sheetId="4" state="hidden" r:id="rId1"/>
    <sheet name="Parte A. &quot;Inv. al 100%&quot;" sheetId="5" r:id="rId2"/>
    <sheet name="Parte B. &quot;Infor Aprov. y Man.&quot;" sheetId="6" r:id="rId3"/>
  </sheets>
  <definedNames>
    <definedName name="_xlnm.Print_Area" localSheetId="2">'Parte B. "Infor Aprov. y Man."'!$A$1:$AK$108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5" l="1"/>
  <c r="AB47" i="6" l="1"/>
  <c r="Q41" i="5" l="1"/>
  <c r="Q42" i="5"/>
  <c r="Q35" i="5"/>
  <c r="Q36" i="5"/>
  <c r="Q37" i="5"/>
  <c r="Q38" i="5"/>
  <c r="AD82" i="6" l="1"/>
  <c r="AB93" i="6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9" i="5"/>
  <c r="Q40" i="5"/>
  <c r="Q43" i="5"/>
  <c r="Q44" i="5"/>
  <c r="Q45" i="5" l="1"/>
  <c r="AF103" i="6"/>
  <c r="U68" i="6"/>
  <c r="U67" i="6"/>
  <c r="U66" i="6"/>
  <c r="U65" i="6"/>
  <c r="U64" i="6"/>
  <c r="O60" i="6"/>
  <c r="AB59" i="6"/>
  <c r="AB58" i="6"/>
  <c r="O52" i="6"/>
  <c r="AB51" i="6"/>
  <c r="AB50" i="6"/>
  <c r="AB49" i="6"/>
  <c r="AB48" i="6"/>
  <c r="A45" i="5"/>
  <c r="AB60" i="6" l="1"/>
  <c r="AB52" i="6"/>
  <c r="U69" i="6"/>
  <c r="Y104" i="6" l="1"/>
</calcChain>
</file>

<file path=xl/sharedStrings.xml><?xml version="1.0" encoding="utf-8"?>
<sst xmlns="http://schemas.openxmlformats.org/spreadsheetml/2006/main" count="184" uniqueCount="149">
  <si>
    <t>SISTEMA INTEGRADO GESTIÓN DE LA CALIDAD</t>
  </si>
  <si>
    <t>AUTORIDAD AMBIENTAL</t>
  </si>
  <si>
    <t>FGR-06</t>
  </si>
  <si>
    <t>FORMATO DE REGISTRO</t>
  </si>
  <si>
    <t>CORPORACIÓN AUTÓNOMA REGIONAL DE BOYACÁ</t>
  </si>
  <si>
    <t>Página 1 de 2</t>
  </si>
  <si>
    <t>Otro:</t>
  </si>
  <si>
    <t>LATITUD</t>
  </si>
  <si>
    <t>LONGITUD</t>
  </si>
  <si>
    <t>Página 2 de 2</t>
  </si>
  <si>
    <t>Plantación Forestal</t>
  </si>
  <si>
    <t>OBSERVACIONES</t>
  </si>
  <si>
    <t>P1</t>
  </si>
  <si>
    <t>P2</t>
  </si>
  <si>
    <t>P3</t>
  </si>
  <si>
    <t>P4</t>
  </si>
  <si>
    <t>L 1</t>
  </si>
  <si>
    <t>L 2</t>
  </si>
  <si>
    <t>V1</t>
  </si>
  <si>
    <t>V2</t>
  </si>
  <si>
    <t>V3</t>
  </si>
  <si>
    <t>V4</t>
  </si>
  <si>
    <t>P5</t>
  </si>
  <si>
    <t>P6</t>
  </si>
  <si>
    <t>P7</t>
  </si>
  <si>
    <t>P8</t>
  </si>
  <si>
    <t>N° DE
ÁRBOLES</t>
  </si>
  <si>
    <t>NOMBRE COMÚN</t>
  </si>
  <si>
    <t>DAP  (cm)</t>
  </si>
  <si>
    <t>ALTO TOTAL</t>
  </si>
  <si>
    <t>VOLUMEN (m³)</t>
  </si>
  <si>
    <t>GEORREFERENCIA (COORDENADAS GEOGRÁFICAS)</t>
  </si>
  <si>
    <t>Grados</t>
  </si>
  <si>
    <t>Min</t>
  </si>
  <si>
    <t>Seg</t>
  </si>
  <si>
    <t>TOTAL</t>
  </si>
  <si>
    <t>Rastrojo</t>
  </si>
  <si>
    <t>2. CARACTERÍSTICAS BIOFÍSICAS DEL ÁREA A INTERVENIR</t>
  </si>
  <si>
    <r>
      <t xml:space="preserve">Altitud </t>
    </r>
    <r>
      <rPr>
        <sz val="7"/>
        <color theme="1"/>
        <rFont val="Arial"/>
        <family val="2"/>
      </rPr>
      <t>(m.s.n.m.)</t>
    </r>
    <r>
      <rPr>
        <sz val="8"/>
        <color theme="1"/>
        <rFont val="Arial"/>
        <family val="2"/>
      </rPr>
      <t xml:space="preserve"> : </t>
    </r>
  </si>
  <si>
    <t>TopografÍa:</t>
  </si>
  <si>
    <t>Plana</t>
  </si>
  <si>
    <t>Ondulada</t>
  </si>
  <si>
    <t>Colina</t>
  </si>
  <si>
    <t>Pendiente</t>
  </si>
  <si>
    <t>Cuerpos de agua:</t>
  </si>
  <si>
    <t>Latitud:</t>
  </si>
  <si>
    <t>Bosque plantado:</t>
  </si>
  <si>
    <t>Cultivos:</t>
  </si>
  <si>
    <t>Rastrojo:</t>
  </si>
  <si>
    <t>4. ASPECTOS TÉCNICOS DEL APROVECHAMIENTO</t>
  </si>
  <si>
    <t>N°. Árboles</t>
  </si>
  <si>
    <t>Nombre común</t>
  </si>
  <si>
    <t>Nombre técnico</t>
  </si>
  <si>
    <r>
      <t>Vol. (m</t>
    </r>
    <r>
      <rPr>
        <vertAlign val="superscript"/>
        <sz val="9"/>
        <color theme="1"/>
        <rFont val="Arial"/>
        <family val="2"/>
      </rPr>
      <t>3</t>
    </r>
    <r>
      <rPr>
        <sz val="8"/>
        <color theme="1"/>
        <rFont val="Arial"/>
        <family val="2"/>
      </rPr>
      <t>)</t>
    </r>
  </si>
  <si>
    <t>VALOR COMERCIAL EN EL MERCADO MAS CERCANO DE LAS ESPECIES OBJETO DE APROVECHAMIENTO</t>
  </si>
  <si>
    <t>VOLUMEN MADERA  A APROVECHAR EN BRUTO (En Pie)</t>
  </si>
  <si>
    <r>
      <t xml:space="preserve"> (m</t>
    </r>
    <r>
      <rPr>
        <vertAlign val="superscript"/>
        <sz val="9"/>
        <color theme="1"/>
        <rFont val="Arial"/>
        <family val="2"/>
      </rPr>
      <t>3</t>
    </r>
    <r>
      <rPr>
        <sz val="8"/>
        <color theme="1"/>
        <rFont val="Arial"/>
        <family val="2"/>
      </rPr>
      <t>)</t>
    </r>
  </si>
  <si>
    <r>
      <t>Valor unitario ($ / m</t>
    </r>
    <r>
      <rPr>
        <vertAlign val="superscript"/>
        <sz val="9"/>
        <color theme="1"/>
        <rFont val="Arial"/>
        <family val="2"/>
      </rPr>
      <t>3</t>
    </r>
    <r>
      <rPr>
        <sz val="8"/>
        <color theme="1"/>
        <rFont val="Arial"/>
        <family val="2"/>
      </rPr>
      <t>)</t>
    </r>
  </si>
  <si>
    <t>Valor total</t>
  </si>
  <si>
    <t xml:space="preserve">Observaciones: </t>
  </si>
  <si>
    <t>VALOR MANO DE OBRA DEL APROVECHAMIENTO A REALIZAR</t>
  </si>
  <si>
    <t>ACTIVIDAD SILVÍCOLA</t>
  </si>
  <si>
    <t>JORNALES 
(Un)</t>
  </si>
  <si>
    <t>VALOR JORNAL($)</t>
  </si>
  <si>
    <t>VALOR TOTAL ($)</t>
  </si>
  <si>
    <r>
      <t xml:space="preserve">Auxiliar motosierra </t>
    </r>
    <r>
      <rPr>
        <sz val="6"/>
        <color theme="1"/>
        <rFont val="Arial"/>
        <family val="2"/>
      </rPr>
      <t>(Evaluación caída del fuste, descope, despate, despunte, tronzado y despeje de caminos)</t>
    </r>
  </si>
  <si>
    <r>
      <t xml:space="preserve">Motoserrista </t>
    </r>
    <r>
      <rPr>
        <sz val="6"/>
        <color theme="1"/>
        <rFont val="Arial"/>
        <family val="2"/>
      </rPr>
      <t>(Apeo, trozado y aserrado)</t>
    </r>
  </si>
  <si>
    <t>VALOR LABORES DE DESEMBOSQUE</t>
  </si>
  <si>
    <t>SISTEMA</t>
  </si>
  <si>
    <t>JORNALES</t>
  </si>
  <si>
    <t>VALOR JORNAL ($)</t>
  </si>
  <si>
    <t>Extracción manual</t>
  </si>
  <si>
    <t>Con traccion animal</t>
  </si>
  <si>
    <t>Con cable aéreo</t>
  </si>
  <si>
    <r>
      <t xml:space="preserve">Mecánico </t>
    </r>
    <r>
      <rPr>
        <sz val="6"/>
        <color theme="1"/>
        <rFont val="Arial"/>
        <family val="2"/>
      </rPr>
      <t>(Tractor)</t>
    </r>
  </si>
  <si>
    <t>VALOR MAQUINARIA E INSUMOS DE EXTRACCIÓN</t>
  </si>
  <si>
    <t>Cable</t>
  </si>
  <si>
    <t>Ganchos</t>
  </si>
  <si>
    <t>Malacate</t>
  </si>
  <si>
    <t>Garrucha</t>
  </si>
  <si>
    <t>Winche</t>
  </si>
  <si>
    <t>Poleas</t>
  </si>
  <si>
    <t>Con traccion animal:</t>
  </si>
  <si>
    <t>Bueyes</t>
  </si>
  <si>
    <t>Burros</t>
  </si>
  <si>
    <t>Caballos</t>
  </si>
  <si>
    <t>Mulas</t>
  </si>
  <si>
    <t>Con cable aéreo:</t>
  </si>
  <si>
    <t>Cabrestante</t>
  </si>
  <si>
    <t>Carro portacarga</t>
  </si>
  <si>
    <t>Frenos</t>
  </si>
  <si>
    <t>Mastil - Torres</t>
  </si>
  <si>
    <t>Mecánico:</t>
  </si>
  <si>
    <t>Cargador, grapa de arrastre, remolque, tractor neumático, Tractor Winche</t>
  </si>
  <si>
    <t>Transformación de la madera con:</t>
  </si>
  <si>
    <t>Motosierra</t>
  </si>
  <si>
    <t>Estacionaria</t>
  </si>
  <si>
    <t>GEORREFERENCIA DE LOS PATIOS DE ACOPIO Y PUNTOS DE CARGUE</t>
  </si>
  <si>
    <t>LATITUD N</t>
  </si>
  <si>
    <t>LONGITUD W</t>
  </si>
  <si>
    <t>Observaciones:</t>
  </si>
  <si>
    <t>VALOR DEL TRANSPORTE DE LA MADERA AL CENTRO DE COMERCIALIZACIÓN</t>
  </si>
  <si>
    <t>Cantidad m³:</t>
  </si>
  <si>
    <t>VALOR TOTAL</t>
  </si>
  <si>
    <t xml:space="preserve">Indique el método a utilizar: </t>
  </si>
  <si>
    <t>Siembra de plantas</t>
  </si>
  <si>
    <t>No. Plantas:</t>
  </si>
  <si>
    <t xml:space="preserve">Especies: </t>
  </si>
  <si>
    <t>Firma del solicitante</t>
  </si>
  <si>
    <t>Cultivos misceláneos</t>
  </si>
  <si>
    <t>Arboles de Sombrio</t>
  </si>
  <si>
    <t>Cercas vivas</t>
  </si>
  <si>
    <t>Linderos</t>
  </si>
  <si>
    <t>Carreteras</t>
  </si>
  <si>
    <t>Vías Ferreas</t>
  </si>
  <si>
    <t>Canales</t>
  </si>
  <si>
    <t>Sist. Agrosilvopastoril</t>
  </si>
  <si>
    <t>Si</t>
  </si>
  <si>
    <t>No</t>
  </si>
  <si>
    <t>Clase:</t>
  </si>
  <si>
    <t>Nombre:</t>
  </si>
  <si>
    <t>Coordenada F. Hídrica</t>
  </si>
  <si>
    <t>Longitud:</t>
  </si>
  <si>
    <t>Pastos:</t>
  </si>
  <si>
    <t>Industrial:</t>
  </si>
  <si>
    <t xml:space="preserve">Área total del Predio (Has): </t>
  </si>
  <si>
    <t xml:space="preserve">Área total de los árboles aislados (Has): </t>
  </si>
  <si>
    <t>Área de los árboles aislados a intervenir (Has):</t>
  </si>
  <si>
    <t>Pto. Cargue N°</t>
  </si>
  <si>
    <t>Pto. Acopio N°.</t>
  </si>
  <si>
    <t>5. RENOVABILIDAD DEL RECURSO FORESTAL</t>
  </si>
  <si>
    <t>Manejo por regeneración natural o vegetación remanente</t>
  </si>
  <si>
    <t>Valor total Actividad de Renobabilidad del Recurso Forestal:</t>
  </si>
  <si>
    <t>Valor por m³</t>
  </si>
  <si>
    <t>6. COSTO TOTAL APROVECHAMIENTO</t>
  </si>
  <si>
    <t>1. SISTEMA O INFRAESTRUCTURA AL QUE ESTAN ASOCIADOS LOS ÁRBOLES AISLADOS</t>
  </si>
  <si>
    <t>Tierras no cultivadas o abandonadas</t>
  </si>
  <si>
    <t xml:space="preserve">Uso Principal del suelo según (POT - EOT MPAL):  </t>
  </si>
  <si>
    <t>Manual</t>
  </si>
  <si>
    <t>Parte B. Información técnica sobre el Aprovechamiento y Manejo de Árboles Aislados</t>
  </si>
  <si>
    <t>Parte A. Inventario Forestal al 100%</t>
  </si>
  <si>
    <t>Imprimir en tamaño 8.5x13</t>
  </si>
  <si>
    <t>Página 1 de 1</t>
  </si>
  <si>
    <t>Valor de la Actividad por árbol incluyendo limpieza, eliminación de árboles de sombrío, mejora de árboles promisorios, manejo de rebrotes, resiembra, entre otros y mantenimiento por 2 años.</t>
  </si>
  <si>
    <r>
      <t xml:space="preserve">3. DISTRIBUCIÓN USO ACTUAL DEL SUELO DEL PREDIO (%) </t>
    </r>
    <r>
      <rPr>
        <sz val="8"/>
        <color theme="1"/>
        <rFont val="Arial"/>
        <family val="2"/>
      </rPr>
      <t>Digite el valor correspondiente en la casilla según aplique</t>
    </r>
  </si>
  <si>
    <t>Versión 7</t>
  </si>
  <si>
    <t>Protección Ambiental:</t>
  </si>
  <si>
    <t>REGISTRO DE INFORMACION PARA APROVECHAMIENTO DE ARBOLES AISLADOS</t>
  </si>
  <si>
    <t>El presente formato aplica para las solicitudes:
a) De Especies Nativas con fines comerciales y volumen inferior a 50 m3.
b) Especies exóticas o Introducidas con fines comerciales.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</si>
</sst>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 Narrow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6"/>
      <color theme="1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5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/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/>
    <xf numFmtId="0" fontId="13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0" fillId="0" borderId="0" xfId="0" applyBorder="1" applyProtection="1"/>
    <xf numFmtId="0" fontId="1" fillId="0" borderId="0" xfId="0" applyFont="1" applyAlignment="1" applyProtection="1"/>
    <xf numFmtId="0" fontId="1" fillId="0" borderId="0" xfId="0" applyFont="1" applyBorder="1" applyAlignment="1" applyProtection="1">
      <alignment horizontal="center" vertical="center"/>
    </xf>
    <xf numFmtId="166" fontId="1" fillId="0" borderId="6" xfId="1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166" fontId="1" fillId="0" borderId="2" xfId="1" applyFont="1" applyBorder="1" applyAlignment="1" applyProtection="1">
      <alignment horizontal="right" vertical="center"/>
    </xf>
    <xf numFmtId="166" fontId="1" fillId="0" borderId="9" xfId="1" applyFont="1" applyBorder="1" applyAlignment="1" applyProtection="1">
      <alignment horizontal="right" vertical="center"/>
    </xf>
    <xf numFmtId="166" fontId="1" fillId="0" borderId="10" xfId="1" applyFont="1" applyBorder="1" applyAlignment="1" applyProtection="1">
      <alignment horizontal="right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center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1" fillId="0" borderId="5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3" fillId="0" borderId="12" xfId="0" applyFont="1" applyBorder="1" applyAlignment="1" applyProtection="1">
      <alignment horizontal="center" vertical="center" wrapText="1"/>
    </xf>
    <xf numFmtId="0" fontId="13" fillId="0" borderId="7" xfId="0" applyFont="1" applyBorder="1" applyAlignment="1" applyProtection="1">
      <alignment horizontal="center" vertical="center" wrapText="1"/>
    </xf>
    <xf numFmtId="0" fontId="13" fillId="0" borderId="3" xfId="0" applyFont="1" applyBorder="1" applyAlignment="1" applyProtection="1">
      <alignment horizontal="center" vertical="center" wrapText="1"/>
    </xf>
    <xf numFmtId="0" fontId="13" fillId="0" borderId="8" xfId="0" applyFont="1" applyBorder="1" applyAlignment="1" applyProtection="1">
      <alignment horizontal="center" vertical="center" wrapText="1"/>
    </xf>
    <xf numFmtId="0" fontId="13" fillId="0" borderId="4" xfId="0" applyFont="1" applyBorder="1" applyAlignment="1" applyProtection="1">
      <alignment horizontal="center" vertical="center" wrapText="1"/>
    </xf>
    <xf numFmtId="0" fontId="13" fillId="0" borderId="11" xfId="0" applyFont="1" applyBorder="1" applyAlignment="1" applyProtection="1">
      <alignment horizontal="center" vertical="center" wrapText="1"/>
    </xf>
    <xf numFmtId="0" fontId="13" fillId="0" borderId="6" xfId="0" applyFont="1" applyBorder="1" applyAlignment="1" applyProtection="1">
      <alignment horizontal="center" vertical="center" wrapText="1"/>
    </xf>
    <xf numFmtId="0" fontId="13" fillId="0" borderId="0" xfId="0" applyFont="1" applyBorder="1" applyAlignment="1" applyProtection="1">
      <alignment horizontal="center" vertical="center" wrapText="1"/>
    </xf>
    <xf numFmtId="0" fontId="13" fillId="0" borderId="5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166" fontId="8" fillId="0" borderId="2" xfId="1" applyFont="1" applyBorder="1" applyAlignment="1" applyProtection="1">
      <alignment horizontal="center" vertical="center"/>
    </xf>
    <xf numFmtId="166" fontId="8" fillId="0" borderId="9" xfId="1" applyFont="1" applyBorder="1" applyAlignment="1" applyProtection="1">
      <alignment horizontal="center" vertical="center"/>
    </xf>
    <xf numFmtId="166" fontId="8" fillId="0" borderId="10" xfId="1" applyFont="1" applyBorder="1" applyAlignment="1" applyProtection="1">
      <alignment horizontal="center" vertical="center"/>
    </xf>
    <xf numFmtId="164" fontId="1" fillId="0" borderId="2" xfId="1" applyNumberFormat="1" applyFont="1" applyBorder="1" applyAlignment="1" applyProtection="1">
      <alignment horizontal="center" vertical="center"/>
    </xf>
    <xf numFmtId="164" fontId="1" fillId="0" borderId="9" xfId="1" applyNumberFormat="1" applyFont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7" fillId="2" borderId="10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/>
    </xf>
    <xf numFmtId="0" fontId="17" fillId="0" borderId="1" xfId="0" applyFont="1" applyBorder="1" applyAlignment="1" applyProtection="1">
      <alignment horizontal="center" vertical="center" wrapText="1"/>
    </xf>
    <xf numFmtId="0" fontId="17" fillId="0" borderId="13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/>
    </xf>
    <xf numFmtId="14" fontId="5" fillId="0" borderId="13" xfId="0" applyNumberFormat="1" applyFont="1" applyBorder="1" applyAlignment="1" applyProtection="1">
      <alignment horizontal="center"/>
    </xf>
    <xf numFmtId="0" fontId="16" fillId="0" borderId="2" xfId="0" applyFont="1" applyBorder="1" applyAlignment="1" applyProtection="1">
      <alignment horizontal="center" vertical="center" wrapText="1"/>
    </xf>
    <xf numFmtId="0" fontId="16" fillId="0" borderId="9" xfId="0" applyFont="1" applyBorder="1" applyAlignment="1" applyProtection="1">
      <alignment horizontal="center" vertical="center" wrapText="1"/>
    </xf>
    <xf numFmtId="0" fontId="16" fillId="0" borderId="10" xfId="0" applyFont="1" applyBorder="1" applyAlignment="1" applyProtection="1">
      <alignment horizontal="center" vertical="center" wrapText="1"/>
    </xf>
    <xf numFmtId="0" fontId="16" fillId="0" borderId="12" xfId="0" applyFont="1" applyBorder="1" applyAlignment="1" applyProtection="1">
      <alignment horizontal="center" vertical="center" wrapText="1"/>
    </xf>
    <xf numFmtId="0" fontId="16" fillId="0" borderId="6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left" vertical="center"/>
    </xf>
    <xf numFmtId="0" fontId="9" fillId="0" borderId="9" xfId="0" applyFont="1" applyBorder="1" applyAlignment="1" applyProtection="1">
      <alignment horizontal="left" vertical="center"/>
    </xf>
    <xf numFmtId="0" fontId="9" fillId="0" borderId="10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</xf>
    <xf numFmtId="0" fontId="13" fillId="0" borderId="3" xfId="0" applyFont="1" applyBorder="1" applyAlignment="1" applyProtection="1">
      <alignment horizontal="left" vertical="center" wrapText="1"/>
    </xf>
    <xf numFmtId="0" fontId="13" fillId="0" borderId="0" xfId="0" applyFont="1" applyBorder="1" applyAlignment="1" applyProtection="1">
      <alignment horizontal="left" vertical="center" wrapText="1"/>
    </xf>
    <xf numFmtId="0" fontId="13" fillId="0" borderId="8" xfId="0" applyFont="1" applyBorder="1" applyAlignment="1" applyProtection="1">
      <alignment horizontal="left" vertical="center" wrapText="1"/>
    </xf>
    <xf numFmtId="0" fontId="0" fillId="0" borderId="6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</xf>
    <xf numFmtId="0" fontId="1" fillId="0" borderId="10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9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" fillId="0" borderId="11" xfId="0" applyFont="1" applyBorder="1" applyAlignment="1" applyProtection="1">
      <alignment horizontal="center"/>
    </xf>
    <xf numFmtId="167" fontId="9" fillId="5" borderId="2" xfId="1" applyNumberFormat="1" applyFont="1" applyFill="1" applyBorder="1" applyAlignment="1" applyProtection="1">
      <alignment horizontal="center" vertical="center"/>
    </xf>
    <xf numFmtId="167" fontId="9" fillId="5" borderId="9" xfId="1" applyNumberFormat="1" applyFont="1" applyFill="1" applyBorder="1" applyAlignment="1" applyProtection="1">
      <alignment horizontal="center" vertical="center"/>
    </xf>
    <xf numFmtId="167" fontId="9" fillId="5" borderId="10" xfId="1" applyNumberFormat="1" applyFont="1" applyFill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wrapText="1"/>
    </xf>
    <xf numFmtId="0" fontId="10" fillId="0" borderId="9" xfId="0" applyFont="1" applyBorder="1" applyAlignment="1" applyProtection="1">
      <alignment horizontal="center" wrapText="1"/>
    </xf>
    <xf numFmtId="0" fontId="10" fillId="0" borderId="10" xfId="0" applyFont="1" applyBorder="1" applyAlignment="1" applyProtection="1">
      <alignment horizontal="center" wrapText="1"/>
    </xf>
    <xf numFmtId="167" fontId="1" fillId="4" borderId="2" xfId="2" applyNumberFormat="1" applyFont="1" applyFill="1" applyBorder="1" applyAlignment="1" applyProtection="1">
      <alignment horizontal="center" vertical="center"/>
    </xf>
    <xf numFmtId="167" fontId="1" fillId="4" borderId="9" xfId="2" applyNumberFormat="1" applyFont="1" applyFill="1" applyBorder="1" applyAlignment="1" applyProtection="1">
      <alignment horizontal="center" vertical="center"/>
    </xf>
    <xf numFmtId="167" fontId="1" fillId="4" borderId="10" xfId="2" applyNumberFormat="1" applyFont="1" applyFill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/>
    </xf>
    <xf numFmtId="0" fontId="13" fillId="0" borderId="2" xfId="0" applyFont="1" applyBorder="1" applyAlignment="1" applyProtection="1">
      <alignment horizontal="left" vertical="center"/>
    </xf>
    <xf numFmtId="0" fontId="13" fillId="0" borderId="9" xfId="0" applyFont="1" applyBorder="1" applyAlignment="1" applyProtection="1">
      <alignment horizontal="left" vertical="center"/>
    </xf>
    <xf numFmtId="0" fontId="13" fillId="0" borderId="9" xfId="0" applyFont="1" applyBorder="1" applyAlignment="1" applyProtection="1">
      <alignment horizontal="center" vertical="center"/>
    </xf>
    <xf numFmtId="0" fontId="13" fillId="0" borderId="10" xfId="0" applyFont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11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 vertic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1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center"/>
    </xf>
    <xf numFmtId="0" fontId="1" fillId="0" borderId="9" xfId="0" applyFont="1" applyBorder="1" applyAlignment="1" applyProtection="1">
      <alignment horizontal="left" vertical="center"/>
    </xf>
    <xf numFmtId="0" fontId="13" fillId="0" borderId="2" xfId="0" applyFont="1" applyBorder="1" applyAlignment="1" applyProtection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</xf>
    <xf numFmtId="0" fontId="13" fillId="0" borderId="10" xfId="0" applyFont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left" vertical="center"/>
    </xf>
    <xf numFmtId="0" fontId="1" fillId="0" borderId="12" xfId="0" applyFont="1" applyBorder="1" applyAlignment="1" applyProtection="1">
      <alignment horizontal="center" vertical="center"/>
    </xf>
    <xf numFmtId="0" fontId="13" fillId="0" borderId="9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1" fillId="0" borderId="2" xfId="0" applyNumberFormat="1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 applyProtection="1">
      <alignment horizontal="left" vertical="center"/>
      <protection locked="0"/>
    </xf>
    <xf numFmtId="49" fontId="1" fillId="0" borderId="10" xfId="0" applyNumberFormat="1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</xf>
    <xf numFmtId="0" fontId="1" fillId="0" borderId="14" xfId="0" applyFont="1" applyBorder="1" applyAlignment="1" applyProtection="1">
      <alignment vertical="center"/>
    </xf>
    <xf numFmtId="167" fontId="1" fillId="0" borderId="12" xfId="2" applyNumberFormat="1" applyFont="1" applyBorder="1" applyAlignment="1" applyProtection="1">
      <alignment horizontal="center" vertical="center"/>
      <protection locked="0"/>
    </xf>
    <xf numFmtId="167" fontId="1" fillId="0" borderId="6" xfId="2" applyNumberFormat="1" applyFont="1" applyBorder="1" applyAlignment="1" applyProtection="1">
      <alignment horizontal="center" vertical="center"/>
      <protection locked="0"/>
    </xf>
    <xf numFmtId="167" fontId="1" fillId="0" borderId="7" xfId="2" applyNumberFormat="1" applyFont="1" applyBorder="1" applyAlignment="1" applyProtection="1">
      <alignment horizontal="center" vertical="center"/>
      <protection locked="0"/>
    </xf>
    <xf numFmtId="167" fontId="1" fillId="0" borderId="12" xfId="2" applyNumberFormat="1" applyFont="1" applyBorder="1" applyAlignment="1" applyProtection="1">
      <alignment horizontal="center" vertical="center"/>
    </xf>
    <xf numFmtId="167" fontId="1" fillId="0" borderId="6" xfId="2" applyNumberFormat="1" applyFont="1" applyBorder="1" applyAlignment="1" applyProtection="1">
      <alignment horizontal="center" vertical="center"/>
    </xf>
    <xf numFmtId="167" fontId="1" fillId="0" borderId="7" xfId="2" applyNumberFormat="1" applyFont="1" applyBorder="1" applyAlignment="1" applyProtection="1">
      <alignment horizontal="center" vertical="center"/>
    </xf>
    <xf numFmtId="0" fontId="9" fillId="0" borderId="12" xfId="0" applyFont="1" applyBorder="1" applyAlignment="1" applyProtection="1">
      <alignment horizontal="center" vertical="center"/>
    </xf>
    <xf numFmtId="0" fontId="9" fillId="0" borderId="6" xfId="0" applyFont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</xf>
    <xf numFmtId="166" fontId="9" fillId="0" borderId="12" xfId="1" applyFont="1" applyBorder="1" applyAlignment="1" applyProtection="1">
      <alignment horizontal="center" vertical="center"/>
    </xf>
    <xf numFmtId="166" fontId="9" fillId="0" borderId="6" xfId="1" applyFont="1" applyBorder="1" applyAlignment="1" applyProtection="1">
      <alignment horizontal="center" vertical="center"/>
    </xf>
    <xf numFmtId="166" fontId="9" fillId="0" borderId="7" xfId="1" applyFont="1" applyBorder="1" applyAlignment="1" applyProtection="1">
      <alignment horizontal="center" vertical="center"/>
    </xf>
    <xf numFmtId="0" fontId="1" fillId="3" borderId="12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1" fillId="3" borderId="7" xfId="0" applyFont="1" applyFill="1" applyBorder="1" applyAlignment="1" applyProtection="1">
      <alignment horizontal="center" vertical="center"/>
    </xf>
    <xf numFmtId="167" fontId="9" fillId="5" borderId="12" xfId="2" applyNumberFormat="1" applyFont="1" applyFill="1" applyBorder="1" applyAlignment="1" applyProtection="1">
      <alignment horizontal="center" vertical="center"/>
    </xf>
    <xf numFmtId="167" fontId="9" fillId="5" borderId="6" xfId="2" applyNumberFormat="1" applyFont="1" applyFill="1" applyBorder="1" applyAlignment="1" applyProtection="1">
      <alignment horizontal="center" vertical="center"/>
    </xf>
    <xf numFmtId="167" fontId="9" fillId="5" borderId="7" xfId="2" applyNumberFormat="1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left" vertical="center"/>
    </xf>
    <xf numFmtId="0" fontId="1" fillId="0" borderId="5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9" xfId="0" applyFont="1" applyBorder="1" applyAlignment="1" applyProtection="1">
      <alignment horizontal="left" vertical="center" wrapText="1"/>
    </xf>
    <xf numFmtId="0" fontId="1" fillId="0" borderId="10" xfId="0" applyFont="1" applyBorder="1" applyAlignment="1" applyProtection="1">
      <alignment horizontal="left" vertical="center" wrapText="1"/>
    </xf>
    <xf numFmtId="167" fontId="1" fillId="0" borderId="2" xfId="2" applyNumberFormat="1" applyFont="1" applyBorder="1" applyAlignment="1" applyProtection="1">
      <alignment horizontal="center"/>
      <protection locked="0"/>
    </xf>
    <xf numFmtId="167" fontId="1" fillId="0" borderId="9" xfId="2" applyNumberFormat="1" applyFont="1" applyBorder="1" applyAlignment="1" applyProtection="1">
      <alignment horizontal="center"/>
      <protection locked="0"/>
    </xf>
    <xf numFmtId="167" fontId="1" fillId="0" borderId="2" xfId="2" applyNumberFormat="1" applyFont="1" applyBorder="1" applyAlignment="1" applyProtection="1">
      <alignment horizontal="center"/>
    </xf>
    <xf numFmtId="167" fontId="1" fillId="0" borderId="9" xfId="2" applyNumberFormat="1" applyFont="1" applyBorder="1" applyAlignment="1" applyProtection="1">
      <alignment horizontal="center"/>
    </xf>
    <xf numFmtId="167" fontId="1" fillId="0" borderId="10" xfId="2" applyNumberFormat="1" applyFont="1" applyBorder="1" applyAlignment="1" applyProtection="1">
      <alignment horizont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2" xfId="0" applyFont="1" applyBorder="1" applyAlignment="1" applyProtection="1">
      <alignment horizontal="center" vertical="center"/>
    </xf>
    <xf numFmtId="164" fontId="9" fillId="4" borderId="2" xfId="1" applyNumberFormat="1" applyFont="1" applyFill="1" applyBorder="1" applyAlignment="1" applyProtection="1">
      <alignment horizontal="center" vertical="center"/>
    </xf>
    <xf numFmtId="164" fontId="9" fillId="4" borderId="9" xfId="1" applyNumberFormat="1" applyFont="1" applyFill="1" applyBorder="1" applyAlignment="1" applyProtection="1">
      <alignment horizontal="center" vertical="center"/>
    </xf>
    <xf numFmtId="164" fontId="9" fillId="4" borderId="10" xfId="1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/>
    </xf>
    <xf numFmtId="167" fontId="9" fillId="5" borderId="2" xfId="2" applyNumberFormat="1" applyFont="1" applyFill="1" applyBorder="1" applyAlignment="1" applyProtection="1">
      <alignment horizontal="center" vertical="center"/>
    </xf>
    <xf numFmtId="167" fontId="9" fillId="5" borderId="9" xfId="2" applyNumberFormat="1" applyFont="1" applyFill="1" applyBorder="1" applyAlignment="1" applyProtection="1">
      <alignment horizontal="center" vertical="center"/>
    </xf>
    <xf numFmtId="167" fontId="9" fillId="5" borderId="10" xfId="2" applyNumberFormat="1" applyFont="1" applyFill="1" applyBorder="1" applyAlignment="1" applyProtection="1">
      <alignment horizontal="center" vertical="center"/>
    </xf>
    <xf numFmtId="167" fontId="1" fillId="0" borderId="1" xfId="2" applyNumberFormat="1" applyFont="1" applyBorder="1" applyAlignment="1" applyProtection="1">
      <alignment horizontal="center" vertical="center"/>
      <protection locked="0"/>
    </xf>
    <xf numFmtId="167" fontId="1" fillId="0" borderId="1" xfId="2" applyNumberFormat="1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166" fontId="1" fillId="2" borderId="9" xfId="1" applyFont="1" applyFill="1" applyBorder="1" applyAlignment="1" applyProtection="1">
      <alignment horizontal="center" vertical="center"/>
    </xf>
    <xf numFmtId="166" fontId="1" fillId="2" borderId="10" xfId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9" xfId="0" applyFont="1" applyBorder="1" applyAlignment="1" applyProtection="1">
      <alignment horizontal="center" vertical="center"/>
    </xf>
    <xf numFmtId="0" fontId="10" fillId="0" borderId="10" xfId="0" applyFont="1" applyBorder="1" applyAlignment="1" applyProtection="1">
      <alignment horizontal="center" vertical="center"/>
    </xf>
    <xf numFmtId="0" fontId="10" fillId="0" borderId="12" xfId="0" applyFont="1" applyBorder="1" applyAlignment="1" applyProtection="1">
      <alignment horizontal="center" vertical="center"/>
    </xf>
    <xf numFmtId="167" fontId="1" fillId="4" borderId="2" xfId="2" applyNumberFormat="1" applyFont="1" applyFill="1" applyBorder="1" applyAlignment="1" applyProtection="1">
      <alignment horizontal="center" vertical="center"/>
      <protection locked="0"/>
    </xf>
    <xf numFmtId="167" fontId="1" fillId="4" borderId="9" xfId="2" applyNumberFormat="1" applyFont="1" applyFill="1" applyBorder="1" applyAlignment="1" applyProtection="1">
      <alignment horizontal="center" vertical="center"/>
      <protection locked="0"/>
    </xf>
    <xf numFmtId="167" fontId="1" fillId="4" borderId="10" xfId="2" applyNumberFormat="1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left" vertical="center"/>
    </xf>
    <xf numFmtId="0" fontId="10" fillId="0" borderId="10" xfId="0" applyFont="1" applyBorder="1" applyAlignment="1" applyProtection="1">
      <alignment horizontal="left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left"/>
    </xf>
    <xf numFmtId="0" fontId="10" fillId="0" borderId="9" xfId="0" applyFont="1" applyBorder="1" applyAlignment="1" applyProtection="1">
      <alignment horizontal="left"/>
    </xf>
    <xf numFmtId="0" fontId="10" fillId="0" borderId="9" xfId="0" applyFont="1" applyBorder="1" applyAlignment="1" applyProtection="1">
      <alignment horizontal="left"/>
      <protection locked="0"/>
    </xf>
    <xf numFmtId="0" fontId="10" fillId="0" borderId="10" xfId="0" applyFont="1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top"/>
    </xf>
    <xf numFmtId="0" fontId="1" fillId="0" borderId="6" xfId="0" applyFont="1" applyBorder="1" applyAlignment="1" applyProtection="1">
      <alignment horizontal="center" vertical="top"/>
    </xf>
    <xf numFmtId="0" fontId="1" fillId="0" borderId="9" xfId="0" applyFont="1" applyBorder="1" applyAlignment="1" applyProtection="1">
      <alignment horizontal="left"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80509</xdr:rowOff>
    </xdr:from>
    <xdr:to>
      <xdr:col>6</xdr:col>
      <xdr:colOff>53765</xdr:colOff>
      <xdr:row>5</xdr:row>
      <xdr:rowOff>64407</xdr:rowOff>
    </xdr:to>
    <xdr:pic>
      <xdr:nvPicPr>
        <xdr:cNvPr id="3" name="Imagen 2" descr="Logo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80509"/>
          <a:ext cx="917365" cy="92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120651</xdr:colOff>
      <xdr:row>0</xdr:row>
      <xdr:rowOff>183696</xdr:rowOff>
    </xdr:from>
    <xdr:to>
      <xdr:col>6</xdr:col>
      <xdr:colOff>79166</xdr:colOff>
      <xdr:row>5</xdr:row>
      <xdr:rowOff>64407</xdr:rowOff>
    </xdr:to>
    <xdr:pic>
      <xdr:nvPicPr>
        <xdr:cNvPr id="6" name="Imagen 5" descr="Logo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0651" y="183696"/>
          <a:ext cx="911015" cy="92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25400</xdr:colOff>
      <xdr:row>69</xdr:row>
      <xdr:rowOff>40821</xdr:rowOff>
    </xdr:from>
    <xdr:ext cx="911015" cy="928461"/>
    <xdr:pic>
      <xdr:nvPicPr>
        <xdr:cNvPr id="7" name="Imagen 6" descr="Logo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400" y="40821"/>
          <a:ext cx="911015" cy="92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C18" sqref="C18"/>
    </sheetView>
  </sheetViews>
  <sheetFormatPr baseColWidth="10" defaultRowHeight="15" x14ac:dyDescent="0.25"/>
  <cols>
    <col min="1" max="1" width="3.42578125" customWidth="1"/>
    <col min="2" max="2" width="4.140625" customWidth="1"/>
    <col min="3" max="4" width="3.28515625" bestFit="1" customWidth="1"/>
  </cols>
  <sheetData>
    <row r="1" spans="1:1" x14ac:dyDescent="0.25">
      <c r="A1" s="1" t="s">
        <v>12</v>
      </c>
    </row>
    <row r="2" spans="1:1" x14ac:dyDescent="0.25">
      <c r="A2" s="1" t="s">
        <v>13</v>
      </c>
    </row>
    <row r="3" spans="1:1" x14ac:dyDescent="0.25">
      <c r="A3" s="1" t="s">
        <v>14</v>
      </c>
    </row>
    <row r="4" spans="1:1" x14ac:dyDescent="0.25">
      <c r="A4" s="1" t="s">
        <v>15</v>
      </c>
    </row>
    <row r="5" spans="1:1" x14ac:dyDescent="0.25">
      <c r="A5" s="1" t="s">
        <v>22</v>
      </c>
    </row>
    <row r="6" spans="1:1" x14ac:dyDescent="0.25">
      <c r="A6" s="1" t="s">
        <v>23</v>
      </c>
    </row>
    <row r="7" spans="1:1" x14ac:dyDescent="0.25">
      <c r="A7" s="1" t="s">
        <v>24</v>
      </c>
    </row>
    <row r="8" spans="1:1" x14ac:dyDescent="0.25">
      <c r="A8" s="1" t="s">
        <v>25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20</v>
      </c>
    </row>
    <row r="14" spans="1:1" x14ac:dyDescent="0.25">
      <c r="A14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9"/>
  <sheetViews>
    <sheetView view="pageBreakPreview" topLeftCell="A10" zoomScale="170" zoomScaleNormal="110" zoomScaleSheetLayoutView="170" workbookViewId="0">
      <selection activeCell="T11" sqref="T11:V11"/>
    </sheetView>
  </sheetViews>
  <sheetFormatPr baseColWidth="10" defaultColWidth="9.140625" defaultRowHeight="15" x14ac:dyDescent="0.25"/>
  <cols>
    <col min="1" max="1" width="2.42578125" style="15" customWidth="1"/>
    <col min="2" max="2" width="3.140625" style="15" customWidth="1"/>
    <col min="3" max="15" width="2.42578125" style="15" customWidth="1"/>
    <col min="16" max="16" width="3" style="15" customWidth="1"/>
    <col min="17" max="37" width="2.42578125" style="15" customWidth="1"/>
    <col min="38" max="41" width="2.42578125" style="13" customWidth="1"/>
    <col min="42" max="42" width="17.42578125" style="13" customWidth="1"/>
    <col min="43" max="69" width="9.140625" style="13"/>
    <col min="70" max="70" width="9.140625" style="5"/>
    <col min="71" max="16384" width="9.140625" style="15"/>
  </cols>
  <sheetData>
    <row r="1" spans="1:70" s="13" customFormat="1" ht="15.75" customHeight="1" x14ac:dyDescent="0.25">
      <c r="A1" s="70"/>
      <c r="B1" s="70"/>
      <c r="C1" s="70"/>
      <c r="D1" s="70"/>
      <c r="E1" s="70"/>
      <c r="F1" s="70"/>
      <c r="G1" s="70"/>
      <c r="H1" s="72" t="s">
        <v>4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3" t="s">
        <v>1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BR1" s="14"/>
    </row>
    <row r="2" spans="1:70" s="13" customFormat="1" ht="15.75" customHeight="1" x14ac:dyDescent="0.25">
      <c r="A2" s="70"/>
      <c r="B2" s="70"/>
      <c r="C2" s="70"/>
      <c r="D2" s="70"/>
      <c r="E2" s="70"/>
      <c r="F2" s="70"/>
      <c r="G2" s="70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3" t="s">
        <v>3</v>
      </c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BR2" s="14"/>
    </row>
    <row r="3" spans="1:70" s="13" customFormat="1" ht="15.75" customHeight="1" x14ac:dyDescent="0.25">
      <c r="A3" s="70"/>
      <c r="B3" s="70"/>
      <c r="C3" s="70"/>
      <c r="D3" s="70"/>
      <c r="E3" s="70"/>
      <c r="F3" s="70"/>
      <c r="G3" s="70"/>
      <c r="H3" s="74" t="s">
        <v>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3" t="s">
        <v>2</v>
      </c>
      <c r="X3" s="73"/>
      <c r="Y3" s="73"/>
      <c r="Z3" s="73"/>
      <c r="AA3" s="73"/>
      <c r="AB3" s="73"/>
      <c r="AC3" s="73"/>
      <c r="AD3" s="73" t="s">
        <v>142</v>
      </c>
      <c r="AE3" s="73"/>
      <c r="AF3" s="73"/>
      <c r="AG3" s="73"/>
      <c r="AH3" s="73"/>
      <c r="AI3" s="73"/>
      <c r="AJ3" s="73"/>
      <c r="AK3" s="73"/>
      <c r="BR3" s="14"/>
    </row>
    <row r="4" spans="1:70" s="13" customFormat="1" ht="14.1" customHeight="1" x14ac:dyDescent="0.25">
      <c r="A4" s="70"/>
      <c r="B4" s="70"/>
      <c r="C4" s="70"/>
      <c r="D4" s="70"/>
      <c r="E4" s="70"/>
      <c r="F4" s="70"/>
      <c r="G4" s="70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 t="s">
        <v>145</v>
      </c>
      <c r="X4" s="76"/>
      <c r="Y4" s="76"/>
      <c r="Z4" s="76"/>
      <c r="AA4" s="76"/>
      <c r="AB4" s="76"/>
      <c r="AC4" s="76"/>
      <c r="AD4" s="77">
        <v>45166</v>
      </c>
      <c r="AE4" s="76"/>
      <c r="AF4" s="76"/>
      <c r="AG4" s="76"/>
      <c r="AH4" s="76"/>
      <c r="AI4" s="76"/>
      <c r="AJ4" s="76"/>
      <c r="AK4" s="76"/>
      <c r="BR4" s="14"/>
    </row>
    <row r="5" spans="1:70" s="13" customFormat="1" ht="14.1" customHeight="1" x14ac:dyDescent="0.25">
      <c r="A5" s="70"/>
      <c r="B5" s="70"/>
      <c r="C5" s="70"/>
      <c r="D5" s="70"/>
      <c r="E5" s="70"/>
      <c r="F5" s="70"/>
      <c r="G5" s="71"/>
      <c r="H5" s="81" t="s">
        <v>147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3"/>
      <c r="BR5" s="14"/>
    </row>
    <row r="6" spans="1:70" s="13" customFormat="1" ht="14.25" customHeight="1" x14ac:dyDescent="0.25">
      <c r="A6" s="70"/>
      <c r="B6" s="70"/>
      <c r="C6" s="70"/>
      <c r="D6" s="70"/>
      <c r="E6" s="70"/>
      <c r="F6" s="70"/>
      <c r="G6" s="71"/>
      <c r="H6" s="78" t="s">
        <v>140</v>
      </c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80"/>
      <c r="BR6" s="14"/>
    </row>
    <row r="7" spans="1:70" ht="2.25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20"/>
    </row>
    <row r="8" spans="1:70" ht="11.25" customHeight="1" x14ac:dyDescent="0.25">
      <c r="A8" s="35" t="s">
        <v>26</v>
      </c>
      <c r="B8" s="36"/>
      <c r="C8" s="41" t="s">
        <v>27</v>
      </c>
      <c r="D8" s="41"/>
      <c r="E8" s="41"/>
      <c r="F8" s="41"/>
      <c r="G8" s="41"/>
      <c r="H8" s="41"/>
      <c r="I8" s="41"/>
      <c r="J8" s="41"/>
      <c r="K8" s="41"/>
      <c r="L8" s="42" t="s">
        <v>28</v>
      </c>
      <c r="M8" s="43"/>
      <c r="N8" s="44"/>
      <c r="O8" s="51" t="s">
        <v>29</v>
      </c>
      <c r="P8" s="52"/>
      <c r="Q8" s="51" t="s">
        <v>30</v>
      </c>
      <c r="R8" s="57"/>
      <c r="S8" s="52"/>
      <c r="T8" s="18" t="s">
        <v>31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0"/>
      <c r="BR8" s="15"/>
    </row>
    <row r="9" spans="1:70" ht="11.25" customHeight="1" x14ac:dyDescent="0.25">
      <c r="A9" s="37"/>
      <c r="B9" s="38"/>
      <c r="C9" s="41"/>
      <c r="D9" s="41"/>
      <c r="E9" s="41"/>
      <c r="F9" s="41"/>
      <c r="G9" s="41"/>
      <c r="H9" s="41"/>
      <c r="I9" s="41"/>
      <c r="J9" s="41"/>
      <c r="K9" s="41"/>
      <c r="L9" s="45"/>
      <c r="M9" s="46"/>
      <c r="N9" s="47"/>
      <c r="O9" s="53"/>
      <c r="P9" s="54"/>
      <c r="Q9" s="53"/>
      <c r="R9" s="58"/>
      <c r="S9" s="54"/>
      <c r="T9" s="18" t="s">
        <v>7</v>
      </c>
      <c r="U9" s="19"/>
      <c r="V9" s="19"/>
      <c r="W9" s="19"/>
      <c r="X9" s="19"/>
      <c r="Y9" s="19"/>
      <c r="Z9" s="19"/>
      <c r="AA9" s="19"/>
      <c r="AB9" s="20"/>
      <c r="AC9" s="18" t="s">
        <v>8</v>
      </c>
      <c r="AD9" s="19"/>
      <c r="AE9" s="19"/>
      <c r="AF9" s="19"/>
      <c r="AG9" s="19"/>
      <c r="AH9" s="19"/>
      <c r="AI9" s="19"/>
      <c r="AJ9" s="19"/>
      <c r="AK9" s="20"/>
      <c r="BR9" s="15"/>
    </row>
    <row r="10" spans="1:70" ht="11.25" customHeight="1" x14ac:dyDescent="0.25">
      <c r="A10" s="39"/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8"/>
      <c r="M10" s="49"/>
      <c r="N10" s="50"/>
      <c r="O10" s="55"/>
      <c r="P10" s="56"/>
      <c r="Q10" s="55"/>
      <c r="R10" s="59"/>
      <c r="S10" s="56"/>
      <c r="T10" s="21" t="s">
        <v>32</v>
      </c>
      <c r="U10" s="21"/>
      <c r="V10" s="21"/>
      <c r="W10" s="21" t="s">
        <v>33</v>
      </c>
      <c r="X10" s="21"/>
      <c r="Y10" s="21"/>
      <c r="Z10" s="21" t="s">
        <v>34</v>
      </c>
      <c r="AA10" s="21"/>
      <c r="AB10" s="21"/>
      <c r="AC10" s="21" t="s">
        <v>32</v>
      </c>
      <c r="AD10" s="21"/>
      <c r="AE10" s="21"/>
      <c r="AF10" s="21" t="s">
        <v>33</v>
      </c>
      <c r="AG10" s="21"/>
      <c r="AH10" s="21"/>
      <c r="AI10" s="21" t="s">
        <v>34</v>
      </c>
      <c r="AJ10" s="21"/>
      <c r="AK10" s="21"/>
    </row>
    <row r="11" spans="1:70" ht="18.95" customHeight="1" x14ac:dyDescent="0.25">
      <c r="A11" s="22"/>
      <c r="B11" s="22"/>
      <c r="C11" s="23"/>
      <c r="D11" s="24"/>
      <c r="E11" s="24"/>
      <c r="F11" s="24"/>
      <c r="G11" s="24"/>
      <c r="H11" s="24"/>
      <c r="I11" s="24"/>
      <c r="J11" s="24"/>
      <c r="K11" s="25"/>
      <c r="L11" s="32"/>
      <c r="M11" s="33"/>
      <c r="N11" s="34"/>
      <c r="O11" s="32"/>
      <c r="P11" s="33"/>
      <c r="Q11" s="29">
        <f>PI()/4*(POWER(L11/100,2))*O11*A11*0.6</f>
        <v>0</v>
      </c>
      <c r="R11" s="30"/>
      <c r="S11" s="31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1:70" ht="18.95" customHeight="1" x14ac:dyDescent="0.25">
      <c r="A12" s="22"/>
      <c r="B12" s="22"/>
      <c r="C12" s="23"/>
      <c r="D12" s="24"/>
      <c r="E12" s="24"/>
      <c r="F12" s="24"/>
      <c r="G12" s="24"/>
      <c r="H12" s="24"/>
      <c r="I12" s="24"/>
      <c r="J12" s="24"/>
      <c r="K12" s="25"/>
      <c r="L12" s="26"/>
      <c r="M12" s="27"/>
      <c r="N12" s="28"/>
      <c r="O12" s="26"/>
      <c r="P12" s="27"/>
      <c r="Q12" s="29">
        <f t="shared" ref="Q12:Q44" si="0">PI()/4*(POWER(L12/100,2))*O12*A12*0.6</f>
        <v>0</v>
      </c>
      <c r="R12" s="30"/>
      <c r="S12" s="31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BR12" s="15"/>
    </row>
    <row r="13" spans="1:70" ht="18.95" customHeight="1" x14ac:dyDescent="0.25">
      <c r="A13" s="22"/>
      <c r="B13" s="22"/>
      <c r="C13" s="23"/>
      <c r="D13" s="24"/>
      <c r="E13" s="24"/>
      <c r="F13" s="24"/>
      <c r="G13" s="24"/>
      <c r="H13" s="24"/>
      <c r="I13" s="24"/>
      <c r="J13" s="24"/>
      <c r="K13" s="25"/>
      <c r="L13" s="26"/>
      <c r="M13" s="27"/>
      <c r="N13" s="28"/>
      <c r="O13" s="26"/>
      <c r="P13" s="27"/>
      <c r="Q13" s="29">
        <f t="shared" si="0"/>
        <v>0</v>
      </c>
      <c r="R13" s="30"/>
      <c r="S13" s="31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BR13" s="15"/>
    </row>
    <row r="14" spans="1:70" ht="18.95" customHeight="1" x14ac:dyDescent="0.25">
      <c r="A14" s="22"/>
      <c r="B14" s="22"/>
      <c r="C14" s="23"/>
      <c r="D14" s="24"/>
      <c r="E14" s="24"/>
      <c r="F14" s="24"/>
      <c r="G14" s="24"/>
      <c r="H14" s="24"/>
      <c r="I14" s="24"/>
      <c r="J14" s="24"/>
      <c r="K14" s="25"/>
      <c r="L14" s="26"/>
      <c r="M14" s="27"/>
      <c r="N14" s="28"/>
      <c r="O14" s="26"/>
      <c r="P14" s="27"/>
      <c r="Q14" s="29">
        <f t="shared" si="0"/>
        <v>0</v>
      </c>
      <c r="R14" s="30"/>
      <c r="S14" s="31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1:70" ht="18.95" customHeight="1" x14ac:dyDescent="0.25">
      <c r="A15" s="22"/>
      <c r="B15" s="22"/>
      <c r="C15" s="23"/>
      <c r="D15" s="24"/>
      <c r="E15" s="24"/>
      <c r="F15" s="24"/>
      <c r="G15" s="24"/>
      <c r="H15" s="24"/>
      <c r="I15" s="24"/>
      <c r="J15" s="24"/>
      <c r="K15" s="25"/>
      <c r="L15" s="26"/>
      <c r="M15" s="27"/>
      <c r="N15" s="28"/>
      <c r="O15" s="26"/>
      <c r="P15" s="27"/>
      <c r="Q15" s="29">
        <f t="shared" si="0"/>
        <v>0</v>
      </c>
      <c r="R15" s="30"/>
      <c r="S15" s="31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</row>
    <row r="16" spans="1:70" ht="18.95" customHeight="1" x14ac:dyDescent="0.25">
      <c r="A16" s="22"/>
      <c r="B16" s="22"/>
      <c r="C16" s="23"/>
      <c r="D16" s="24"/>
      <c r="E16" s="24"/>
      <c r="F16" s="24"/>
      <c r="G16" s="24"/>
      <c r="H16" s="24"/>
      <c r="I16" s="24"/>
      <c r="J16" s="24"/>
      <c r="K16" s="25"/>
      <c r="L16" s="26"/>
      <c r="M16" s="27"/>
      <c r="N16" s="28"/>
      <c r="O16" s="26"/>
      <c r="P16" s="27"/>
      <c r="Q16" s="29">
        <f t="shared" si="0"/>
        <v>0</v>
      </c>
      <c r="R16" s="30"/>
      <c r="S16" s="31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BR16" s="15"/>
    </row>
    <row r="17" spans="1:70" ht="18.95" customHeight="1" x14ac:dyDescent="0.25">
      <c r="A17" s="22"/>
      <c r="B17" s="22"/>
      <c r="C17" s="23"/>
      <c r="D17" s="24"/>
      <c r="E17" s="24"/>
      <c r="F17" s="24"/>
      <c r="G17" s="24"/>
      <c r="H17" s="24"/>
      <c r="I17" s="24"/>
      <c r="J17" s="24"/>
      <c r="K17" s="25"/>
      <c r="L17" s="26"/>
      <c r="M17" s="27"/>
      <c r="N17" s="28"/>
      <c r="O17" s="26"/>
      <c r="P17" s="27"/>
      <c r="Q17" s="29">
        <f t="shared" si="0"/>
        <v>0</v>
      </c>
      <c r="R17" s="30"/>
      <c r="S17" s="31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BR17" s="15"/>
    </row>
    <row r="18" spans="1:70" ht="18.95" customHeight="1" x14ac:dyDescent="0.25">
      <c r="A18" s="22"/>
      <c r="B18" s="22"/>
      <c r="C18" s="23"/>
      <c r="D18" s="24"/>
      <c r="E18" s="24"/>
      <c r="F18" s="24"/>
      <c r="G18" s="24"/>
      <c r="H18" s="24"/>
      <c r="I18" s="24"/>
      <c r="J18" s="24"/>
      <c r="K18" s="25"/>
      <c r="L18" s="26"/>
      <c r="M18" s="27"/>
      <c r="N18" s="28"/>
      <c r="O18" s="26"/>
      <c r="P18" s="27"/>
      <c r="Q18" s="29">
        <f t="shared" si="0"/>
        <v>0</v>
      </c>
      <c r="R18" s="30"/>
      <c r="S18" s="31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</row>
    <row r="19" spans="1:70" ht="18.95" customHeight="1" x14ac:dyDescent="0.25">
      <c r="A19" s="22"/>
      <c r="B19" s="22"/>
      <c r="C19" s="23"/>
      <c r="D19" s="24"/>
      <c r="E19" s="24"/>
      <c r="F19" s="24"/>
      <c r="G19" s="24"/>
      <c r="H19" s="24"/>
      <c r="I19" s="24"/>
      <c r="J19" s="24"/>
      <c r="K19" s="25"/>
      <c r="L19" s="26"/>
      <c r="M19" s="27"/>
      <c r="N19" s="28"/>
      <c r="O19" s="26"/>
      <c r="P19" s="27"/>
      <c r="Q19" s="29">
        <f t="shared" si="0"/>
        <v>0</v>
      </c>
      <c r="R19" s="30"/>
      <c r="S19" s="31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</row>
    <row r="20" spans="1:70" ht="18.95" customHeight="1" x14ac:dyDescent="0.25">
      <c r="A20" s="22"/>
      <c r="B20" s="22"/>
      <c r="C20" s="23"/>
      <c r="D20" s="24"/>
      <c r="E20" s="24"/>
      <c r="F20" s="24"/>
      <c r="G20" s="24"/>
      <c r="H20" s="24"/>
      <c r="I20" s="24"/>
      <c r="J20" s="24"/>
      <c r="K20" s="25"/>
      <c r="L20" s="26"/>
      <c r="M20" s="27"/>
      <c r="N20" s="28"/>
      <c r="O20" s="26"/>
      <c r="P20" s="27"/>
      <c r="Q20" s="29">
        <f t="shared" si="0"/>
        <v>0</v>
      </c>
      <c r="R20" s="30"/>
      <c r="S20" s="31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</row>
    <row r="21" spans="1:70" ht="18.95" customHeight="1" x14ac:dyDescent="0.25">
      <c r="A21" s="22"/>
      <c r="B21" s="22"/>
      <c r="C21" s="23"/>
      <c r="D21" s="24"/>
      <c r="E21" s="24"/>
      <c r="F21" s="24"/>
      <c r="G21" s="24"/>
      <c r="H21" s="24"/>
      <c r="I21" s="24"/>
      <c r="J21" s="24"/>
      <c r="K21" s="25"/>
      <c r="L21" s="26"/>
      <c r="M21" s="27"/>
      <c r="N21" s="28"/>
      <c r="O21" s="26"/>
      <c r="P21" s="27"/>
      <c r="Q21" s="29">
        <f t="shared" si="0"/>
        <v>0</v>
      </c>
      <c r="R21" s="30"/>
      <c r="S21" s="31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</row>
    <row r="22" spans="1:70" ht="18.95" customHeight="1" x14ac:dyDescent="0.25">
      <c r="A22" s="22"/>
      <c r="B22" s="22"/>
      <c r="C22" s="23"/>
      <c r="D22" s="24"/>
      <c r="E22" s="24"/>
      <c r="F22" s="24"/>
      <c r="G22" s="24"/>
      <c r="H22" s="24"/>
      <c r="I22" s="24"/>
      <c r="J22" s="24"/>
      <c r="K22" s="25"/>
      <c r="L22" s="26"/>
      <c r="M22" s="27"/>
      <c r="N22" s="28"/>
      <c r="O22" s="26"/>
      <c r="P22" s="27"/>
      <c r="Q22" s="29">
        <f t="shared" si="0"/>
        <v>0</v>
      </c>
      <c r="R22" s="30"/>
      <c r="S22" s="31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</row>
    <row r="23" spans="1:70" ht="18.95" customHeight="1" x14ac:dyDescent="0.25">
      <c r="A23" s="22"/>
      <c r="B23" s="22"/>
      <c r="C23" s="23"/>
      <c r="D23" s="24"/>
      <c r="E23" s="24"/>
      <c r="F23" s="24"/>
      <c r="G23" s="24"/>
      <c r="H23" s="24"/>
      <c r="I23" s="24"/>
      <c r="J23" s="24"/>
      <c r="K23" s="25"/>
      <c r="L23" s="26"/>
      <c r="M23" s="27"/>
      <c r="N23" s="28"/>
      <c r="O23" s="26"/>
      <c r="P23" s="27"/>
      <c r="Q23" s="29">
        <f t="shared" si="0"/>
        <v>0</v>
      </c>
      <c r="R23" s="30"/>
      <c r="S23" s="31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</row>
    <row r="24" spans="1:70" ht="18.95" customHeight="1" x14ac:dyDescent="0.25">
      <c r="A24" s="22"/>
      <c r="B24" s="22"/>
      <c r="C24" s="23"/>
      <c r="D24" s="24"/>
      <c r="E24" s="24"/>
      <c r="F24" s="24"/>
      <c r="G24" s="24"/>
      <c r="H24" s="24"/>
      <c r="I24" s="24"/>
      <c r="J24" s="24"/>
      <c r="K24" s="25"/>
      <c r="L24" s="26"/>
      <c r="M24" s="27"/>
      <c r="N24" s="28"/>
      <c r="O24" s="26"/>
      <c r="P24" s="27"/>
      <c r="Q24" s="29">
        <f t="shared" si="0"/>
        <v>0</v>
      </c>
      <c r="R24" s="30"/>
      <c r="S24" s="31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</row>
    <row r="25" spans="1:70" ht="18.95" customHeight="1" x14ac:dyDescent="0.25">
      <c r="A25" s="22"/>
      <c r="B25" s="22"/>
      <c r="C25" s="23"/>
      <c r="D25" s="24"/>
      <c r="E25" s="24"/>
      <c r="F25" s="24"/>
      <c r="G25" s="24"/>
      <c r="H25" s="24"/>
      <c r="I25" s="24"/>
      <c r="J25" s="24"/>
      <c r="K25" s="25"/>
      <c r="L25" s="26"/>
      <c r="M25" s="27"/>
      <c r="N25" s="28"/>
      <c r="O25" s="26"/>
      <c r="P25" s="27"/>
      <c r="Q25" s="29">
        <f t="shared" si="0"/>
        <v>0</v>
      </c>
      <c r="R25" s="30"/>
      <c r="S25" s="31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 spans="1:70" ht="18.95" customHeight="1" x14ac:dyDescent="0.25">
      <c r="A26" s="22"/>
      <c r="B26" s="22"/>
      <c r="C26" s="23"/>
      <c r="D26" s="24"/>
      <c r="E26" s="24"/>
      <c r="F26" s="24"/>
      <c r="G26" s="24"/>
      <c r="H26" s="24"/>
      <c r="I26" s="24"/>
      <c r="J26" s="24"/>
      <c r="K26" s="25"/>
      <c r="L26" s="26"/>
      <c r="M26" s="27"/>
      <c r="N26" s="28"/>
      <c r="O26" s="26"/>
      <c r="P26" s="27"/>
      <c r="Q26" s="29">
        <f t="shared" si="0"/>
        <v>0</v>
      </c>
      <c r="R26" s="30"/>
      <c r="S26" s="31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  <row r="27" spans="1:70" ht="18.95" customHeight="1" x14ac:dyDescent="0.25">
      <c r="A27" s="22"/>
      <c r="B27" s="22"/>
      <c r="C27" s="23"/>
      <c r="D27" s="24"/>
      <c r="E27" s="24"/>
      <c r="F27" s="24"/>
      <c r="G27" s="24"/>
      <c r="H27" s="24"/>
      <c r="I27" s="24"/>
      <c r="J27" s="24"/>
      <c r="K27" s="25"/>
      <c r="L27" s="26"/>
      <c r="M27" s="27"/>
      <c r="N27" s="28"/>
      <c r="O27" s="26"/>
      <c r="P27" s="27"/>
      <c r="Q27" s="29">
        <f t="shared" si="0"/>
        <v>0</v>
      </c>
      <c r="R27" s="30"/>
      <c r="S27" s="31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spans="1:70" ht="18.95" customHeight="1" x14ac:dyDescent="0.25">
      <c r="A28" s="22"/>
      <c r="B28" s="22"/>
      <c r="C28" s="23"/>
      <c r="D28" s="24"/>
      <c r="E28" s="24"/>
      <c r="F28" s="24"/>
      <c r="G28" s="24"/>
      <c r="H28" s="24"/>
      <c r="I28" s="24"/>
      <c r="J28" s="24"/>
      <c r="K28" s="25"/>
      <c r="L28" s="26"/>
      <c r="M28" s="27"/>
      <c r="N28" s="28"/>
      <c r="O28" s="26"/>
      <c r="P28" s="27"/>
      <c r="Q28" s="29">
        <f t="shared" si="0"/>
        <v>0</v>
      </c>
      <c r="R28" s="30"/>
      <c r="S28" s="31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</row>
    <row r="29" spans="1:70" ht="18.95" customHeight="1" x14ac:dyDescent="0.25">
      <c r="A29" s="22"/>
      <c r="B29" s="22"/>
      <c r="C29" s="23"/>
      <c r="D29" s="24"/>
      <c r="E29" s="24"/>
      <c r="F29" s="24"/>
      <c r="G29" s="24"/>
      <c r="H29" s="24"/>
      <c r="I29" s="24"/>
      <c r="J29" s="24"/>
      <c r="K29" s="25"/>
      <c r="L29" s="26"/>
      <c r="M29" s="27"/>
      <c r="N29" s="28"/>
      <c r="O29" s="26"/>
      <c r="P29" s="27"/>
      <c r="Q29" s="29">
        <f t="shared" si="0"/>
        <v>0</v>
      </c>
      <c r="R29" s="30"/>
      <c r="S29" s="31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</row>
    <row r="30" spans="1:70" ht="18.95" customHeight="1" x14ac:dyDescent="0.25">
      <c r="A30" s="22"/>
      <c r="B30" s="22"/>
      <c r="C30" s="23"/>
      <c r="D30" s="24"/>
      <c r="E30" s="24"/>
      <c r="F30" s="24"/>
      <c r="G30" s="24"/>
      <c r="H30" s="24"/>
      <c r="I30" s="24"/>
      <c r="J30" s="24"/>
      <c r="K30" s="25"/>
      <c r="L30" s="26"/>
      <c r="M30" s="27"/>
      <c r="N30" s="28"/>
      <c r="O30" s="26"/>
      <c r="P30" s="27"/>
      <c r="Q30" s="29">
        <f t="shared" si="0"/>
        <v>0</v>
      </c>
      <c r="R30" s="30"/>
      <c r="S30" s="31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</row>
    <row r="31" spans="1:70" ht="18.95" customHeight="1" x14ac:dyDescent="0.25">
      <c r="A31" s="22"/>
      <c r="B31" s="22"/>
      <c r="C31" s="23"/>
      <c r="D31" s="24"/>
      <c r="E31" s="24"/>
      <c r="F31" s="24"/>
      <c r="G31" s="24"/>
      <c r="H31" s="24"/>
      <c r="I31" s="24"/>
      <c r="J31" s="24"/>
      <c r="K31" s="25"/>
      <c r="L31" s="26"/>
      <c r="M31" s="27"/>
      <c r="N31" s="28"/>
      <c r="O31" s="26"/>
      <c r="P31" s="27"/>
      <c r="Q31" s="29">
        <f t="shared" si="0"/>
        <v>0</v>
      </c>
      <c r="R31" s="30"/>
      <c r="S31" s="31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</row>
    <row r="32" spans="1:70" ht="18.95" customHeight="1" x14ac:dyDescent="0.25">
      <c r="A32" s="22"/>
      <c r="B32" s="22"/>
      <c r="C32" s="23"/>
      <c r="D32" s="24"/>
      <c r="E32" s="24"/>
      <c r="F32" s="24"/>
      <c r="G32" s="24"/>
      <c r="H32" s="24"/>
      <c r="I32" s="24"/>
      <c r="J32" s="24"/>
      <c r="K32" s="25"/>
      <c r="L32" s="26"/>
      <c r="M32" s="27"/>
      <c r="N32" s="28"/>
      <c r="O32" s="26"/>
      <c r="P32" s="27"/>
      <c r="Q32" s="29">
        <f t="shared" si="0"/>
        <v>0</v>
      </c>
      <c r="R32" s="30"/>
      <c r="S32" s="31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</row>
    <row r="33" spans="1:37" ht="18.95" customHeight="1" x14ac:dyDescent="0.25">
      <c r="A33" s="22"/>
      <c r="B33" s="22"/>
      <c r="C33" s="23"/>
      <c r="D33" s="24"/>
      <c r="E33" s="24"/>
      <c r="F33" s="24"/>
      <c r="G33" s="24"/>
      <c r="H33" s="24"/>
      <c r="I33" s="24"/>
      <c r="J33" s="24"/>
      <c r="K33" s="25"/>
      <c r="L33" s="26"/>
      <c r="M33" s="27"/>
      <c r="N33" s="28"/>
      <c r="O33" s="26"/>
      <c r="P33" s="27"/>
      <c r="Q33" s="29">
        <f t="shared" si="0"/>
        <v>0</v>
      </c>
      <c r="R33" s="30"/>
      <c r="S33" s="31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</row>
    <row r="34" spans="1:37" ht="18.95" customHeight="1" x14ac:dyDescent="0.25">
      <c r="A34" s="22"/>
      <c r="B34" s="22"/>
      <c r="C34" s="23"/>
      <c r="D34" s="24"/>
      <c r="E34" s="24"/>
      <c r="F34" s="24"/>
      <c r="G34" s="24"/>
      <c r="H34" s="24"/>
      <c r="I34" s="24"/>
      <c r="J34" s="24"/>
      <c r="K34" s="25"/>
      <c r="L34" s="26"/>
      <c r="M34" s="27"/>
      <c r="N34" s="28"/>
      <c r="O34" s="26"/>
      <c r="P34" s="27"/>
      <c r="Q34" s="29">
        <f t="shared" si="0"/>
        <v>0</v>
      </c>
      <c r="R34" s="30"/>
      <c r="S34" s="31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</row>
    <row r="35" spans="1:37" ht="18.95" customHeight="1" x14ac:dyDescent="0.25">
      <c r="A35" s="22"/>
      <c r="B35" s="22"/>
      <c r="C35" s="23"/>
      <c r="D35" s="24"/>
      <c r="E35" s="24"/>
      <c r="F35" s="24"/>
      <c r="G35" s="24"/>
      <c r="H35" s="24"/>
      <c r="I35" s="24"/>
      <c r="J35" s="24"/>
      <c r="K35" s="25"/>
      <c r="L35" s="26"/>
      <c r="M35" s="27"/>
      <c r="N35" s="28"/>
      <c r="O35" s="26"/>
      <c r="P35" s="27"/>
      <c r="Q35" s="29">
        <f t="shared" ref="Q35:Q38" si="1">PI()/4*(POWER(L35/100,2))*O35*A35*0.6</f>
        <v>0</v>
      </c>
      <c r="R35" s="30"/>
      <c r="S35" s="31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</row>
    <row r="36" spans="1:37" ht="18.95" customHeight="1" x14ac:dyDescent="0.25">
      <c r="A36" s="22"/>
      <c r="B36" s="22"/>
      <c r="C36" s="23"/>
      <c r="D36" s="24"/>
      <c r="E36" s="24"/>
      <c r="F36" s="24"/>
      <c r="G36" s="24"/>
      <c r="H36" s="24"/>
      <c r="I36" s="24"/>
      <c r="J36" s="24"/>
      <c r="K36" s="25"/>
      <c r="L36" s="26"/>
      <c r="M36" s="27"/>
      <c r="N36" s="28"/>
      <c r="O36" s="26"/>
      <c r="P36" s="27"/>
      <c r="Q36" s="29">
        <f t="shared" si="1"/>
        <v>0</v>
      </c>
      <c r="R36" s="30"/>
      <c r="S36" s="31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</row>
    <row r="37" spans="1:37" ht="18.95" customHeight="1" x14ac:dyDescent="0.25">
      <c r="A37" s="22"/>
      <c r="B37" s="22"/>
      <c r="C37" s="23"/>
      <c r="D37" s="24"/>
      <c r="E37" s="24"/>
      <c r="F37" s="24"/>
      <c r="G37" s="24"/>
      <c r="H37" s="24"/>
      <c r="I37" s="24"/>
      <c r="J37" s="24"/>
      <c r="K37" s="25"/>
      <c r="L37" s="26"/>
      <c r="M37" s="27"/>
      <c r="N37" s="28"/>
      <c r="O37" s="26"/>
      <c r="P37" s="27"/>
      <c r="Q37" s="29">
        <f t="shared" si="1"/>
        <v>0</v>
      </c>
      <c r="R37" s="30"/>
      <c r="S37" s="31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37" ht="18.95" customHeight="1" x14ac:dyDescent="0.25">
      <c r="A38" s="22"/>
      <c r="B38" s="22"/>
      <c r="C38" s="23"/>
      <c r="D38" s="24"/>
      <c r="E38" s="24"/>
      <c r="F38" s="24"/>
      <c r="G38" s="24"/>
      <c r="H38" s="24"/>
      <c r="I38" s="24"/>
      <c r="J38" s="24"/>
      <c r="K38" s="25"/>
      <c r="L38" s="26"/>
      <c r="M38" s="27"/>
      <c r="N38" s="28"/>
      <c r="O38" s="26"/>
      <c r="P38" s="27"/>
      <c r="Q38" s="29">
        <f t="shared" si="1"/>
        <v>0</v>
      </c>
      <c r="R38" s="30"/>
      <c r="S38" s="31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spans="1:37" ht="18.95" customHeight="1" x14ac:dyDescent="0.25">
      <c r="A39" s="22"/>
      <c r="B39" s="22"/>
      <c r="C39" s="23"/>
      <c r="D39" s="24"/>
      <c r="E39" s="24"/>
      <c r="F39" s="24"/>
      <c r="G39" s="24"/>
      <c r="H39" s="24"/>
      <c r="I39" s="24"/>
      <c r="J39" s="24"/>
      <c r="K39" s="25"/>
      <c r="L39" s="26"/>
      <c r="M39" s="27"/>
      <c r="N39" s="28"/>
      <c r="O39" s="26"/>
      <c r="P39" s="27"/>
      <c r="Q39" s="29">
        <f t="shared" si="0"/>
        <v>0</v>
      </c>
      <c r="R39" s="30"/>
      <c r="S39" s="31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37" ht="18.95" customHeight="1" x14ac:dyDescent="0.25">
      <c r="A40" s="22"/>
      <c r="B40" s="22"/>
      <c r="C40" s="23"/>
      <c r="D40" s="24"/>
      <c r="E40" s="24"/>
      <c r="F40" s="24"/>
      <c r="G40" s="24"/>
      <c r="H40" s="24"/>
      <c r="I40" s="24"/>
      <c r="J40" s="24"/>
      <c r="K40" s="25"/>
      <c r="L40" s="26"/>
      <c r="M40" s="27"/>
      <c r="N40" s="28"/>
      <c r="O40" s="26"/>
      <c r="P40" s="27"/>
      <c r="Q40" s="29">
        <f t="shared" si="0"/>
        <v>0</v>
      </c>
      <c r="R40" s="30"/>
      <c r="S40" s="31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37" ht="18.95" customHeight="1" x14ac:dyDescent="0.25">
      <c r="A41" s="22"/>
      <c r="B41" s="22"/>
      <c r="C41" s="23"/>
      <c r="D41" s="24"/>
      <c r="E41" s="24"/>
      <c r="F41" s="24"/>
      <c r="G41" s="24"/>
      <c r="H41" s="24"/>
      <c r="I41" s="24"/>
      <c r="J41" s="24"/>
      <c r="K41" s="25"/>
      <c r="L41" s="26"/>
      <c r="M41" s="27"/>
      <c r="N41" s="28"/>
      <c r="O41" s="26"/>
      <c r="P41" s="27"/>
      <c r="Q41" s="29">
        <f t="shared" ref="Q41:Q42" si="2">PI()/4*(POWER(L41/100,2))*O41*A41*0.6</f>
        <v>0</v>
      </c>
      <c r="R41" s="30"/>
      <c r="S41" s="31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37" ht="18.95" customHeight="1" x14ac:dyDescent="0.25">
      <c r="A42" s="22"/>
      <c r="B42" s="22"/>
      <c r="C42" s="23"/>
      <c r="D42" s="24"/>
      <c r="E42" s="24"/>
      <c r="F42" s="24"/>
      <c r="G42" s="24"/>
      <c r="H42" s="24"/>
      <c r="I42" s="24"/>
      <c r="J42" s="24"/>
      <c r="K42" s="25"/>
      <c r="L42" s="26"/>
      <c r="M42" s="27"/>
      <c r="N42" s="28"/>
      <c r="O42" s="26"/>
      <c r="P42" s="27"/>
      <c r="Q42" s="29">
        <f t="shared" si="2"/>
        <v>0</v>
      </c>
      <c r="R42" s="30"/>
      <c r="S42" s="31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</row>
    <row r="43" spans="1:37" ht="18.95" customHeight="1" x14ac:dyDescent="0.25">
      <c r="A43" s="22"/>
      <c r="B43" s="22"/>
      <c r="C43" s="23"/>
      <c r="D43" s="24"/>
      <c r="E43" s="24"/>
      <c r="F43" s="24"/>
      <c r="G43" s="24"/>
      <c r="H43" s="24"/>
      <c r="I43" s="24"/>
      <c r="J43" s="24"/>
      <c r="K43" s="25"/>
      <c r="L43" s="26"/>
      <c r="M43" s="27"/>
      <c r="N43" s="28"/>
      <c r="O43" s="26"/>
      <c r="P43" s="27"/>
      <c r="Q43" s="29">
        <f t="shared" si="0"/>
        <v>0</v>
      </c>
      <c r="R43" s="30"/>
      <c r="S43" s="31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</row>
    <row r="44" spans="1:37" ht="18.95" customHeight="1" x14ac:dyDescent="0.25">
      <c r="A44" s="22"/>
      <c r="B44" s="22"/>
      <c r="C44" s="23"/>
      <c r="D44" s="24"/>
      <c r="E44" s="24"/>
      <c r="F44" s="24"/>
      <c r="G44" s="24"/>
      <c r="H44" s="24"/>
      <c r="I44" s="24"/>
      <c r="J44" s="24"/>
      <c r="K44" s="25"/>
      <c r="L44" s="26"/>
      <c r="M44" s="27"/>
      <c r="N44" s="28"/>
      <c r="O44" s="26"/>
      <c r="P44" s="27"/>
      <c r="Q44" s="29">
        <f t="shared" si="0"/>
        <v>0</v>
      </c>
      <c r="R44" s="30"/>
      <c r="S44" s="31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</row>
    <row r="45" spans="1:37" ht="18.95" customHeight="1" x14ac:dyDescent="0.25">
      <c r="A45" s="65">
        <f>SUM(A11:B44)</f>
        <v>0</v>
      </c>
      <c r="B45" s="66"/>
      <c r="C45" s="60" t="s">
        <v>35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2">
        <f>SUM(Q11:S44)</f>
        <v>0</v>
      </c>
      <c r="R45" s="63"/>
      <c r="S45" s="64"/>
      <c r="T45" s="67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9"/>
    </row>
    <row r="46" spans="1:37" ht="14.25" customHeight="1" x14ac:dyDescent="0.25">
      <c r="A46" s="17" t="s">
        <v>141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3" customFormat="1" ht="15.75" customHeight="1" x14ac:dyDescent="0.25"/>
    <row r="48" spans="1:37" s="13" customFormat="1" ht="15.75" customHeight="1" x14ac:dyDescent="0.25"/>
    <row r="49" s="13" customFormat="1" ht="15.75" customHeight="1" x14ac:dyDescent="0.25"/>
    <row r="50" s="13" customFormat="1" ht="15.75" customHeight="1" x14ac:dyDescent="0.25"/>
    <row r="51" s="13" customFormat="1" ht="15.75" customHeight="1" x14ac:dyDescent="0.25"/>
    <row r="52" s="13" customFormat="1" ht="15.75" customHeight="1" x14ac:dyDescent="0.25"/>
    <row r="53" s="13" customFormat="1" ht="15.75" customHeight="1" x14ac:dyDescent="0.25"/>
    <row r="54" s="13" customFormat="1" ht="15.75" customHeight="1" x14ac:dyDescent="0.25"/>
    <row r="55" s="13" customFormat="1" ht="15.75" customHeight="1" x14ac:dyDescent="0.25"/>
    <row r="56" s="13" customFormat="1" ht="15.75" customHeight="1" x14ac:dyDescent="0.25"/>
    <row r="57" s="13" customFormat="1" ht="15.75" customHeight="1" x14ac:dyDescent="0.25"/>
    <row r="58" s="13" customFormat="1" ht="15.75" customHeight="1" x14ac:dyDescent="0.25"/>
    <row r="59" s="13" customFormat="1" ht="15.75" customHeight="1" x14ac:dyDescent="0.25"/>
    <row r="60" s="13" customFormat="1" ht="15.75" customHeight="1" x14ac:dyDescent="0.25"/>
    <row r="61" s="13" customFormat="1" ht="15.75" customHeight="1" x14ac:dyDescent="0.25"/>
    <row r="62" s="13" customFormat="1" ht="15.75" customHeight="1" x14ac:dyDescent="0.25"/>
    <row r="63" s="13" customFormat="1" ht="15.75" customHeight="1" x14ac:dyDescent="0.25"/>
    <row r="64" s="13" customFormat="1" ht="15.75" customHeight="1" x14ac:dyDescent="0.25"/>
    <row r="65" s="13" customFormat="1" ht="15.75" customHeight="1" x14ac:dyDescent="0.25"/>
    <row r="66" s="13" customFormat="1" ht="15.75" customHeight="1" x14ac:dyDescent="0.25"/>
    <row r="67" s="13" customFormat="1" ht="15.75" customHeight="1" x14ac:dyDescent="0.25"/>
    <row r="68" s="13" customFormat="1" ht="15.75" customHeight="1" x14ac:dyDescent="0.25"/>
    <row r="69" s="13" customFormat="1" ht="15.75" customHeight="1" x14ac:dyDescent="0.25"/>
    <row r="70" s="13" customFormat="1" ht="15.75" customHeight="1" x14ac:dyDescent="0.25"/>
    <row r="71" s="13" customFormat="1" ht="15.75" customHeight="1" x14ac:dyDescent="0.25"/>
    <row r="72" s="13" customFormat="1" ht="15.75" customHeight="1" x14ac:dyDescent="0.25"/>
    <row r="73" s="13" customFormat="1" ht="15.75" customHeight="1" x14ac:dyDescent="0.25"/>
    <row r="74" s="13" customFormat="1" ht="15.75" customHeight="1" x14ac:dyDescent="0.25"/>
    <row r="75" s="13" customFormat="1" ht="15.75" customHeight="1" x14ac:dyDescent="0.25"/>
    <row r="76" s="13" customFormat="1" ht="15.75" customHeight="1" x14ac:dyDescent="0.25"/>
    <row r="77" s="13" customFormat="1" ht="15.75" customHeight="1" x14ac:dyDescent="0.25"/>
    <row r="78" s="13" customFormat="1" x14ac:dyDescent="0.25"/>
    <row r="79" s="13" customFormat="1" x14ac:dyDescent="0.25"/>
    <row r="80" s="13" customFormat="1" x14ac:dyDescent="0.25"/>
    <row r="81" s="13" customFormat="1" x14ac:dyDescent="0.25"/>
    <row r="82" s="13" customFormat="1" x14ac:dyDescent="0.25"/>
    <row r="83" s="13" customFormat="1" x14ac:dyDescent="0.25"/>
    <row r="84" s="13" customFormat="1" x14ac:dyDescent="0.25"/>
    <row r="85" s="13" customFormat="1" x14ac:dyDescent="0.25"/>
    <row r="86" s="13" customFormat="1" x14ac:dyDescent="0.25"/>
    <row r="87" s="13" customFormat="1" x14ac:dyDescent="0.25"/>
    <row r="88" s="13" customFormat="1" x14ac:dyDescent="0.25"/>
    <row r="89" s="13" customFormat="1" x14ac:dyDescent="0.25"/>
    <row r="90" s="13" customFormat="1" x14ac:dyDescent="0.25"/>
    <row r="91" s="13" customFormat="1" x14ac:dyDescent="0.25"/>
    <row r="92" s="13" customFormat="1" x14ac:dyDescent="0.25"/>
    <row r="93" s="13" customFormat="1" x14ac:dyDescent="0.25"/>
    <row r="94" s="13" customFormat="1" x14ac:dyDescent="0.25"/>
    <row r="95" s="13" customFormat="1" x14ac:dyDescent="0.25"/>
    <row r="96" s="13" customFormat="1" x14ac:dyDescent="0.25"/>
    <row r="97" s="13" customFormat="1" x14ac:dyDescent="0.25"/>
    <row r="98" s="13" customFormat="1" x14ac:dyDescent="0.25"/>
    <row r="99" s="13" customFormat="1" x14ac:dyDescent="0.25"/>
    <row r="100" s="13" customFormat="1" x14ac:dyDescent="0.25"/>
    <row r="101" s="13" customFormat="1" x14ac:dyDescent="0.25"/>
    <row r="102" s="13" customFormat="1" x14ac:dyDescent="0.25"/>
    <row r="103" s="13" customFormat="1" x14ac:dyDescent="0.25"/>
    <row r="104" s="13" customFormat="1" x14ac:dyDescent="0.25"/>
    <row r="105" s="13" customFormat="1" x14ac:dyDescent="0.25"/>
    <row r="106" s="13" customFormat="1" x14ac:dyDescent="0.25"/>
    <row r="107" s="13" customFormat="1" x14ac:dyDescent="0.25"/>
    <row r="108" s="13" customFormat="1" x14ac:dyDescent="0.25"/>
    <row r="109" s="13" customFormat="1" x14ac:dyDescent="0.25"/>
    <row r="110" s="13" customFormat="1" x14ac:dyDescent="0.25"/>
    <row r="111" s="13" customFormat="1" x14ac:dyDescent="0.25"/>
    <row r="112" s="13" customFormat="1" x14ac:dyDescent="0.25"/>
    <row r="113" s="13" customFormat="1" x14ac:dyDescent="0.25"/>
    <row r="114" s="13" customFormat="1" x14ac:dyDescent="0.25"/>
    <row r="115" s="13" customFormat="1" x14ac:dyDescent="0.25"/>
    <row r="116" s="13" customFormat="1" x14ac:dyDescent="0.25"/>
    <row r="117" s="13" customFormat="1" x14ac:dyDescent="0.25"/>
    <row r="118" s="13" customFormat="1" x14ac:dyDescent="0.25"/>
    <row r="119" s="13" customFormat="1" x14ac:dyDescent="0.25"/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rintOptions horizontalCentered="1" verticalCentered="1"/>
  <pageMargins left="0.51181102362204722" right="0.51181102362204722" top="0.74803149606299213" bottom="0.74803149606299213" header="0.31496062992125984" footer="0.31496062992125984"/>
  <pageSetup paperSize="1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208"/>
  <sheetViews>
    <sheetView tabSelected="1" view="pageBreakPreview" topLeftCell="A103" zoomScale="175" zoomScaleNormal="120" zoomScaleSheetLayoutView="175" workbookViewId="0">
      <selection activeCell="Q112" sqref="Q112"/>
    </sheetView>
  </sheetViews>
  <sheetFormatPr baseColWidth="10" defaultColWidth="9.140625" defaultRowHeight="15" x14ac:dyDescent="0.25"/>
  <cols>
    <col min="1" max="20" width="2.42578125" style="15" customWidth="1"/>
    <col min="21" max="21" width="2.85546875" style="15" customWidth="1"/>
    <col min="22" max="36" width="2.42578125" style="15" customWidth="1"/>
    <col min="37" max="37" width="2.28515625" style="15" customWidth="1"/>
    <col min="38" max="42" width="2.42578125" style="13" customWidth="1"/>
    <col min="43" max="43" width="8.140625" style="13" customWidth="1"/>
    <col min="44" max="56" width="9.140625" style="13"/>
    <col min="57" max="71" width="9.140625" style="5"/>
    <col min="72" max="16384" width="9.140625" style="15"/>
  </cols>
  <sheetData>
    <row r="1" spans="1:71" s="13" customFormat="1" ht="18.75" customHeight="1" x14ac:dyDescent="0.25">
      <c r="A1" s="70"/>
      <c r="B1" s="70"/>
      <c r="C1" s="70"/>
      <c r="D1" s="70"/>
      <c r="E1" s="70"/>
      <c r="F1" s="70"/>
      <c r="G1" s="70"/>
      <c r="H1" s="72" t="s">
        <v>4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3" t="s">
        <v>1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</row>
    <row r="2" spans="1:71" s="13" customFormat="1" ht="18.75" customHeight="1" x14ac:dyDescent="0.25">
      <c r="A2" s="70"/>
      <c r="B2" s="70"/>
      <c r="C2" s="70"/>
      <c r="D2" s="70"/>
      <c r="E2" s="70"/>
      <c r="F2" s="70"/>
      <c r="G2" s="70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3" t="s">
        <v>3</v>
      </c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</row>
    <row r="3" spans="1:71" s="13" customFormat="1" ht="15" customHeight="1" x14ac:dyDescent="0.25">
      <c r="A3" s="70"/>
      <c r="B3" s="70"/>
      <c r="C3" s="70"/>
      <c r="D3" s="70"/>
      <c r="E3" s="70"/>
      <c r="F3" s="70"/>
      <c r="G3" s="70"/>
      <c r="H3" s="74" t="s">
        <v>0</v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3" t="s">
        <v>2</v>
      </c>
      <c r="X3" s="73"/>
      <c r="Y3" s="73"/>
      <c r="Z3" s="73"/>
      <c r="AA3" s="73"/>
      <c r="AB3" s="73"/>
      <c r="AC3" s="73"/>
      <c r="AD3" s="73" t="s">
        <v>5</v>
      </c>
      <c r="AE3" s="73"/>
      <c r="AF3" s="73"/>
      <c r="AG3" s="73"/>
      <c r="AH3" s="73"/>
      <c r="AI3" s="73"/>
      <c r="AJ3" s="73"/>
      <c r="AK3" s="73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</row>
    <row r="4" spans="1:71" s="13" customFormat="1" ht="15" customHeight="1" x14ac:dyDescent="0.25">
      <c r="A4" s="70"/>
      <c r="B4" s="70"/>
      <c r="C4" s="70"/>
      <c r="D4" s="70"/>
      <c r="E4" s="70"/>
      <c r="F4" s="70"/>
      <c r="G4" s="70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 t="s">
        <v>145</v>
      </c>
      <c r="X4" s="76"/>
      <c r="Y4" s="76"/>
      <c r="Z4" s="76"/>
      <c r="AA4" s="76"/>
      <c r="AB4" s="76"/>
      <c r="AC4" s="76"/>
      <c r="AD4" s="77">
        <v>45166</v>
      </c>
      <c r="AE4" s="76"/>
      <c r="AF4" s="76"/>
      <c r="AG4" s="76"/>
      <c r="AH4" s="76"/>
      <c r="AI4" s="76"/>
      <c r="AJ4" s="76"/>
      <c r="AK4" s="76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</row>
    <row r="5" spans="1:71" s="13" customFormat="1" ht="15" customHeight="1" x14ac:dyDescent="0.25">
      <c r="A5" s="70"/>
      <c r="B5" s="70"/>
      <c r="C5" s="70"/>
      <c r="D5" s="70"/>
      <c r="E5" s="70"/>
      <c r="F5" s="70"/>
      <c r="G5" s="71"/>
      <c r="H5" s="81" t="s">
        <v>147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3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</row>
    <row r="6" spans="1:71" s="13" customFormat="1" ht="14.25" customHeight="1" x14ac:dyDescent="0.25">
      <c r="A6" s="70"/>
      <c r="B6" s="70"/>
      <c r="C6" s="70"/>
      <c r="D6" s="70"/>
      <c r="E6" s="70"/>
      <c r="F6" s="70"/>
      <c r="G6" s="71"/>
      <c r="H6" s="78" t="s">
        <v>139</v>
      </c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2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</row>
    <row r="7" spans="1:71" s="13" customFormat="1" ht="31.5" customHeight="1" x14ac:dyDescent="0.25">
      <c r="A7" s="101" t="s">
        <v>148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3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</row>
    <row r="8" spans="1:71" s="13" customFormat="1" ht="2.25" customHeight="1" x14ac:dyDescent="0.25">
      <c r="A8" s="98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100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</row>
    <row r="9" spans="1:71" s="13" customFormat="1" ht="15" customHeight="1" x14ac:dyDescent="0.25">
      <c r="A9" s="88" t="s">
        <v>135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90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</row>
    <row r="10" spans="1:71" ht="2.25" customHeight="1" x14ac:dyDescent="0.25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5"/>
    </row>
    <row r="11" spans="1:71" ht="15" customHeight="1" x14ac:dyDescent="0.25">
      <c r="A11" s="106" t="s">
        <v>110</v>
      </c>
      <c r="B11" s="107"/>
      <c r="C11" s="107"/>
      <c r="D11" s="107"/>
      <c r="E11" s="107"/>
      <c r="F11" s="107"/>
      <c r="G11" s="108"/>
      <c r="H11" s="9"/>
      <c r="I11" s="18" t="s">
        <v>109</v>
      </c>
      <c r="J11" s="19"/>
      <c r="K11" s="19"/>
      <c r="L11" s="19"/>
      <c r="M11" s="19"/>
      <c r="N11" s="19"/>
      <c r="O11" s="20"/>
      <c r="P11" s="6"/>
      <c r="Q11" s="106" t="s">
        <v>116</v>
      </c>
      <c r="R11" s="107"/>
      <c r="S11" s="107"/>
      <c r="T11" s="107"/>
      <c r="U11" s="107"/>
      <c r="V11" s="107"/>
      <c r="W11" s="108"/>
      <c r="X11" s="9"/>
      <c r="Y11" s="18" t="s">
        <v>36</v>
      </c>
      <c r="Z11" s="19"/>
      <c r="AA11" s="19"/>
      <c r="AB11" s="20"/>
      <c r="AC11" s="9"/>
      <c r="AD11" s="18" t="s">
        <v>10</v>
      </c>
      <c r="AE11" s="19"/>
      <c r="AF11" s="19"/>
      <c r="AG11" s="19"/>
      <c r="AH11" s="19"/>
      <c r="AI11" s="19"/>
      <c r="AJ11" s="20"/>
      <c r="AK11" s="12"/>
    </row>
    <row r="12" spans="1:71" ht="2.25" customHeight="1" x14ac:dyDescent="0.25">
      <c r="A12" s="91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4"/>
    </row>
    <row r="13" spans="1:71" ht="15" customHeight="1" x14ac:dyDescent="0.25">
      <c r="A13" s="18" t="s">
        <v>111</v>
      </c>
      <c r="B13" s="19"/>
      <c r="C13" s="19"/>
      <c r="D13" s="19"/>
      <c r="E13" s="20"/>
      <c r="F13" s="12"/>
      <c r="G13" s="18" t="s">
        <v>112</v>
      </c>
      <c r="H13" s="19"/>
      <c r="I13" s="20"/>
      <c r="J13" s="12"/>
      <c r="K13" s="106" t="s">
        <v>113</v>
      </c>
      <c r="L13" s="107"/>
      <c r="M13" s="107"/>
      <c r="N13" s="108"/>
      <c r="O13" s="9"/>
      <c r="P13" s="106" t="s">
        <v>114</v>
      </c>
      <c r="Q13" s="107"/>
      <c r="R13" s="107"/>
      <c r="S13" s="108"/>
      <c r="T13" s="9"/>
      <c r="U13" s="106" t="s">
        <v>115</v>
      </c>
      <c r="V13" s="107"/>
      <c r="W13" s="108"/>
      <c r="X13" s="9"/>
      <c r="Y13" s="106" t="s">
        <v>136</v>
      </c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8"/>
      <c r="AK13" s="9"/>
    </row>
    <row r="14" spans="1:71" ht="3" customHeight="1" x14ac:dyDescent="0.25">
      <c r="A14" s="143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5"/>
    </row>
    <row r="15" spans="1:71" ht="15" customHeight="1" x14ac:dyDescent="0.25">
      <c r="A15" s="146" t="s">
        <v>37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</row>
    <row r="16" spans="1:71" ht="2.25" customHeight="1" x14ac:dyDescent="0.25">
      <c r="A16" s="14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20"/>
    </row>
    <row r="17" spans="1:71" ht="15" customHeight="1" x14ac:dyDescent="0.25">
      <c r="A17" s="141" t="s">
        <v>38</v>
      </c>
      <c r="B17" s="142"/>
      <c r="C17" s="142"/>
      <c r="D17" s="142"/>
      <c r="E17" s="142"/>
      <c r="F17" s="142"/>
      <c r="G17" s="148"/>
      <c r="H17" s="148"/>
      <c r="I17" s="148"/>
      <c r="J17" s="148"/>
      <c r="K17" s="148"/>
      <c r="L17" s="18" t="s">
        <v>39</v>
      </c>
      <c r="M17" s="19"/>
      <c r="N17" s="19"/>
      <c r="O17" s="19"/>
      <c r="P17" s="19"/>
      <c r="Q17" s="19" t="s">
        <v>40</v>
      </c>
      <c r="R17" s="19"/>
      <c r="S17" s="20"/>
      <c r="T17" s="33"/>
      <c r="U17" s="34"/>
      <c r="V17" s="18" t="s">
        <v>41</v>
      </c>
      <c r="W17" s="19"/>
      <c r="X17" s="19"/>
      <c r="Y17" s="20"/>
      <c r="Z17" s="23"/>
      <c r="AA17" s="25"/>
      <c r="AB17" s="18" t="s">
        <v>42</v>
      </c>
      <c r="AC17" s="19"/>
      <c r="AD17" s="20"/>
      <c r="AE17" s="32"/>
      <c r="AF17" s="34"/>
      <c r="AG17" s="18" t="s">
        <v>43</v>
      </c>
      <c r="AH17" s="19"/>
      <c r="AI17" s="20"/>
      <c r="AJ17" s="32"/>
      <c r="AK17" s="34"/>
    </row>
    <row r="18" spans="1:71" ht="2.25" customHeight="1" x14ac:dyDescent="0.25">
      <c r="A18" s="124"/>
      <c r="B18" s="125"/>
      <c r="C18" s="125"/>
      <c r="D18" s="125"/>
      <c r="E18" s="125"/>
      <c r="F18" s="125"/>
      <c r="G18" s="125"/>
      <c r="H18" s="125"/>
      <c r="I18" s="125"/>
      <c r="J18" s="126"/>
      <c r="K18" s="125"/>
      <c r="L18" s="125"/>
      <c r="M18" s="125"/>
      <c r="N18" s="125"/>
      <c r="O18" s="125"/>
      <c r="P18" s="125"/>
      <c r="Q18" s="125"/>
      <c r="R18" s="125"/>
      <c r="S18" s="125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8"/>
    </row>
    <row r="19" spans="1:71" ht="15" customHeight="1" x14ac:dyDescent="0.25">
      <c r="A19" s="141" t="s">
        <v>44</v>
      </c>
      <c r="B19" s="142"/>
      <c r="C19" s="142"/>
      <c r="D19" s="142"/>
      <c r="E19" s="142"/>
      <c r="F19" s="142"/>
      <c r="G19" s="10" t="s">
        <v>117</v>
      </c>
      <c r="H19" s="12"/>
      <c r="I19" s="11" t="s">
        <v>118</v>
      </c>
      <c r="J19" s="12"/>
      <c r="K19" s="141" t="s">
        <v>119</v>
      </c>
      <c r="L19" s="142"/>
      <c r="M19" s="24"/>
      <c r="N19" s="24"/>
      <c r="O19" s="24"/>
      <c r="P19" s="24"/>
      <c r="Q19" s="24"/>
      <c r="R19" s="24"/>
      <c r="S19" s="24"/>
      <c r="T19" s="24"/>
      <c r="U19" s="25"/>
      <c r="V19" s="141" t="s">
        <v>120</v>
      </c>
      <c r="W19" s="142"/>
      <c r="X19" s="142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4"/>
    </row>
    <row r="20" spans="1:71" ht="2.25" customHeight="1" x14ac:dyDescent="0.25">
      <c r="A20" s="129"/>
      <c r="B20" s="126"/>
      <c r="C20" s="126"/>
      <c r="D20" s="126"/>
      <c r="E20" s="126"/>
      <c r="F20" s="126"/>
      <c r="G20" s="125"/>
      <c r="H20" s="125"/>
      <c r="I20" s="125"/>
      <c r="J20" s="127"/>
      <c r="K20" s="125"/>
      <c r="L20" s="125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5"/>
      <c r="X20" s="125"/>
      <c r="Y20" s="125"/>
      <c r="Z20" s="125"/>
      <c r="AA20" s="125"/>
      <c r="AB20" s="126"/>
      <c r="AC20" s="126"/>
      <c r="AD20" s="126"/>
      <c r="AE20" s="126"/>
      <c r="AF20" s="126"/>
      <c r="AG20" s="126"/>
      <c r="AH20" s="126"/>
      <c r="AI20" s="126"/>
      <c r="AJ20" s="126"/>
      <c r="AK20" s="130"/>
    </row>
    <row r="21" spans="1:71" ht="15" customHeight="1" x14ac:dyDescent="0.25">
      <c r="A21" s="131" t="s">
        <v>121</v>
      </c>
      <c r="B21" s="132"/>
      <c r="C21" s="132"/>
      <c r="D21" s="132"/>
      <c r="E21" s="132"/>
      <c r="F21" s="132"/>
      <c r="G21" s="18" t="s">
        <v>45</v>
      </c>
      <c r="H21" s="19"/>
      <c r="I21" s="19"/>
      <c r="J21" s="133" t="s">
        <v>32</v>
      </c>
      <c r="K21" s="133"/>
      <c r="L21" s="134"/>
      <c r="M21" s="135"/>
      <c r="N21" s="136"/>
      <c r="O21" s="137" t="s">
        <v>33</v>
      </c>
      <c r="P21" s="138"/>
      <c r="Q21" s="139"/>
      <c r="R21" s="136"/>
      <c r="S21" s="137" t="s">
        <v>34</v>
      </c>
      <c r="T21" s="140"/>
      <c r="U21" s="139"/>
      <c r="V21" s="135"/>
      <c r="W21" s="18" t="s">
        <v>122</v>
      </c>
      <c r="X21" s="19"/>
      <c r="Y21" s="19"/>
      <c r="Z21" s="133" t="s">
        <v>32</v>
      </c>
      <c r="AA21" s="134"/>
      <c r="AB21" s="135"/>
      <c r="AC21" s="136"/>
      <c r="AD21" s="137" t="s">
        <v>33</v>
      </c>
      <c r="AE21" s="140"/>
      <c r="AF21" s="139"/>
      <c r="AG21" s="136"/>
      <c r="AH21" s="137" t="s">
        <v>34</v>
      </c>
      <c r="AI21" s="140"/>
      <c r="AJ21" s="139"/>
      <c r="AK21" s="136"/>
    </row>
    <row r="22" spans="1:71" ht="2.25" customHeight="1" x14ac:dyDescent="0.25">
      <c r="A22" s="91"/>
      <c r="B22" s="92"/>
      <c r="C22" s="92"/>
      <c r="D22" s="92"/>
      <c r="E22" s="92"/>
      <c r="F22" s="92"/>
      <c r="G22" s="93"/>
      <c r="H22" s="93"/>
      <c r="I22" s="93"/>
      <c r="J22" s="93"/>
      <c r="K22" s="93"/>
      <c r="L22" s="93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3"/>
      <c r="X22" s="93"/>
      <c r="Y22" s="93"/>
      <c r="Z22" s="93"/>
      <c r="AA22" s="93"/>
      <c r="AB22" s="92"/>
      <c r="AC22" s="92"/>
      <c r="AD22" s="92"/>
      <c r="AE22" s="92"/>
      <c r="AF22" s="92"/>
      <c r="AG22" s="92"/>
      <c r="AH22" s="92"/>
      <c r="AI22" s="92"/>
      <c r="AJ22" s="92"/>
      <c r="AK22" s="94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</row>
    <row r="23" spans="1:71" ht="15" customHeight="1" x14ac:dyDescent="0.25">
      <c r="A23" s="146" t="s">
        <v>144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</row>
    <row r="24" spans="1:71" ht="3" customHeight="1" x14ac:dyDescent="0.25">
      <c r="A24" s="147"/>
      <c r="B24" s="127"/>
      <c r="C24" s="127"/>
      <c r="D24" s="127"/>
      <c r="E24" s="127"/>
      <c r="F24" s="127"/>
      <c r="G24" s="127"/>
      <c r="H24" s="127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20"/>
    </row>
    <row r="25" spans="1:71" ht="15" customHeight="1" x14ac:dyDescent="0.25">
      <c r="A25" s="225" t="s">
        <v>47</v>
      </c>
      <c r="B25" s="226"/>
      <c r="C25" s="226"/>
      <c r="D25" s="227"/>
      <c r="E25" s="225" t="s">
        <v>48</v>
      </c>
      <c r="F25" s="226"/>
      <c r="G25" s="226"/>
      <c r="H25" s="227"/>
      <c r="I25" s="228" t="s">
        <v>123</v>
      </c>
      <c r="J25" s="229"/>
      <c r="K25" s="229"/>
      <c r="L25" s="230"/>
      <c r="M25" s="225" t="s">
        <v>146</v>
      </c>
      <c r="N25" s="226"/>
      <c r="O25" s="226"/>
      <c r="P25" s="226"/>
      <c r="Q25" s="226"/>
      <c r="R25" s="226"/>
      <c r="S25" s="226"/>
      <c r="T25" s="227"/>
      <c r="U25" s="225" t="s">
        <v>46</v>
      </c>
      <c r="V25" s="226"/>
      <c r="W25" s="226"/>
      <c r="X25" s="226"/>
      <c r="Y25" s="226"/>
      <c r="Z25" s="226"/>
      <c r="AA25" s="227"/>
      <c r="AB25" s="225" t="s">
        <v>124</v>
      </c>
      <c r="AC25" s="226"/>
      <c r="AD25" s="226"/>
      <c r="AE25" s="227"/>
      <c r="AF25" s="225"/>
      <c r="AG25" s="226"/>
      <c r="AH25" s="226"/>
      <c r="AI25" s="226"/>
      <c r="AJ25" s="226"/>
      <c r="AK25" s="227"/>
    </row>
    <row r="26" spans="1:71" ht="3" customHeight="1" x14ac:dyDescent="0.25">
      <c r="A26" s="129"/>
      <c r="B26" s="126"/>
      <c r="C26" s="126"/>
      <c r="D26" s="126"/>
      <c r="E26" s="126"/>
      <c r="F26" s="126"/>
      <c r="G26" s="126"/>
      <c r="H26" s="126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8"/>
    </row>
    <row r="27" spans="1:71" ht="15" customHeight="1" x14ac:dyDescent="0.25">
      <c r="A27" s="18" t="s">
        <v>6</v>
      </c>
      <c r="B27" s="19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7"/>
      <c r="U27" s="18" t="s">
        <v>125</v>
      </c>
      <c r="V27" s="19"/>
      <c r="W27" s="19"/>
      <c r="X27" s="19"/>
      <c r="Y27" s="19"/>
      <c r="Z27" s="19"/>
      <c r="AA27" s="19"/>
      <c r="AB27" s="19"/>
      <c r="AC27" s="226"/>
      <c r="AD27" s="226"/>
      <c r="AE27" s="226"/>
      <c r="AF27" s="226"/>
      <c r="AG27" s="226"/>
      <c r="AH27" s="226"/>
      <c r="AI27" s="226"/>
      <c r="AJ27" s="226"/>
      <c r="AK27" s="227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</row>
    <row r="28" spans="1:71" ht="2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30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</row>
    <row r="29" spans="1:71" ht="15" customHeight="1" x14ac:dyDescent="0.25">
      <c r="A29" s="141" t="s">
        <v>137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53"/>
      <c r="Q29" s="150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2"/>
    </row>
    <row r="30" spans="1:71" ht="2.25" customHeight="1" x14ac:dyDescent="0.25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4"/>
    </row>
    <row r="31" spans="1:71" ht="12.75" customHeight="1" x14ac:dyDescent="0.25">
      <c r="A31" s="88" t="s">
        <v>49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90"/>
      <c r="BE31" s="15"/>
      <c r="BF31" s="15"/>
      <c r="BG31" s="15"/>
      <c r="BH31" s="15"/>
      <c r="BI31" s="15"/>
      <c r="BJ31" s="15"/>
      <c r="BK31" s="15"/>
      <c r="BL31" s="15"/>
    </row>
    <row r="32" spans="1:71" ht="2.25" customHeight="1" x14ac:dyDescent="0.2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20"/>
    </row>
    <row r="33" spans="1:67" ht="12" customHeight="1" x14ac:dyDescent="0.25">
      <c r="A33" s="18" t="s">
        <v>50</v>
      </c>
      <c r="B33" s="19"/>
      <c r="C33" s="19"/>
      <c r="D33" s="19"/>
      <c r="E33" s="41" t="s">
        <v>51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 t="s">
        <v>52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107" t="s">
        <v>53</v>
      </c>
      <c r="AI33" s="107"/>
      <c r="AJ33" s="107"/>
      <c r="AK33" s="108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</row>
    <row r="34" spans="1:67" x14ac:dyDescent="0.25">
      <c r="A34" s="32"/>
      <c r="B34" s="33"/>
      <c r="C34" s="33"/>
      <c r="D34" s="33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149"/>
      <c r="AI34" s="149"/>
      <c r="AJ34" s="149"/>
      <c r="AK34" s="149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</row>
    <row r="35" spans="1:67" x14ac:dyDescent="0.25">
      <c r="A35" s="32"/>
      <c r="B35" s="33"/>
      <c r="C35" s="33"/>
      <c r="D35" s="33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149"/>
      <c r="AI35" s="149"/>
      <c r="AJ35" s="149"/>
      <c r="AK35" s="149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</row>
    <row r="36" spans="1:67" x14ac:dyDescent="0.25">
      <c r="A36" s="32"/>
      <c r="B36" s="33"/>
      <c r="C36" s="33"/>
      <c r="D36" s="33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149"/>
      <c r="AI36" s="149"/>
      <c r="AJ36" s="149"/>
      <c r="AK36" s="149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</row>
    <row r="37" spans="1:67" x14ac:dyDescent="0.25">
      <c r="A37" s="32"/>
      <c r="B37" s="33"/>
      <c r="C37" s="33"/>
      <c r="D37" s="33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149"/>
      <c r="AI37" s="149"/>
      <c r="AJ37" s="149"/>
      <c r="AK37" s="149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</row>
    <row r="38" spans="1:67" x14ac:dyDescent="0.25">
      <c r="A38" s="32"/>
      <c r="B38" s="33"/>
      <c r="C38" s="33"/>
      <c r="D38" s="33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149"/>
      <c r="AI38" s="149"/>
      <c r="AJ38" s="149"/>
      <c r="AK38" s="149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</row>
    <row r="39" spans="1:67" x14ac:dyDescent="0.25">
      <c r="A39" s="32"/>
      <c r="B39" s="33"/>
      <c r="C39" s="33"/>
      <c r="D39" s="33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149"/>
      <c r="AI39" s="149"/>
      <c r="AJ39" s="149"/>
      <c r="AK39" s="149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</row>
    <row r="40" spans="1:67" x14ac:dyDescent="0.25">
      <c r="A40" s="32"/>
      <c r="B40" s="33"/>
      <c r="C40" s="33"/>
      <c r="D40" s="33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149"/>
      <c r="AI40" s="149"/>
      <c r="AJ40" s="149"/>
      <c r="AK40" s="149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</row>
    <row r="41" spans="1:67" ht="2.25" customHeight="1" x14ac:dyDescent="0.25">
      <c r="A41" s="14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8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</row>
    <row r="42" spans="1:67" ht="15" customHeight="1" x14ac:dyDescent="0.25">
      <c r="A42" s="18" t="s">
        <v>126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33"/>
      <c r="O42" s="33"/>
      <c r="P42" s="33"/>
      <c r="Q42" s="34"/>
      <c r="R42" s="18" t="s">
        <v>127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33"/>
      <c r="AH42" s="33"/>
      <c r="AI42" s="33"/>
      <c r="AJ42" s="33"/>
      <c r="AK42" s="34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</row>
    <row r="43" spans="1:67" ht="2.25" customHeight="1" x14ac:dyDescent="0.25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</row>
    <row r="44" spans="1:67" ht="15" customHeight="1" x14ac:dyDescent="0.25">
      <c r="A44" s="85" t="s">
        <v>54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7"/>
    </row>
    <row r="45" spans="1:67" ht="12" customHeight="1" x14ac:dyDescent="0.25">
      <c r="A45" s="147" t="s">
        <v>27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8"/>
      <c r="O45" s="41" t="s">
        <v>55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</row>
    <row r="46" spans="1:67" ht="12" customHeight="1" x14ac:dyDescent="0.25">
      <c r="A46" s="129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30"/>
      <c r="O46" s="18" t="s">
        <v>56</v>
      </c>
      <c r="P46" s="19"/>
      <c r="Q46" s="19"/>
      <c r="R46" s="41" t="s">
        <v>57</v>
      </c>
      <c r="S46" s="41"/>
      <c r="T46" s="41"/>
      <c r="U46" s="41"/>
      <c r="V46" s="41"/>
      <c r="W46" s="41"/>
      <c r="X46" s="41"/>
      <c r="Y46" s="41"/>
      <c r="Z46" s="41"/>
      <c r="AA46" s="41"/>
      <c r="AB46" s="41" t="s">
        <v>58</v>
      </c>
      <c r="AC46" s="41"/>
      <c r="AD46" s="41"/>
      <c r="AE46" s="41"/>
      <c r="AF46" s="41"/>
      <c r="AG46" s="41"/>
      <c r="AH46" s="41"/>
      <c r="AI46" s="41"/>
      <c r="AJ46" s="41"/>
      <c r="AK46" s="41"/>
    </row>
    <row r="47" spans="1:67" ht="15" customHeight="1" x14ac:dyDescent="0.25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4"/>
      <c r="O47" s="32"/>
      <c r="P47" s="33"/>
      <c r="Q47" s="34"/>
      <c r="R47" s="155"/>
      <c r="S47" s="156"/>
      <c r="T47" s="156"/>
      <c r="U47" s="156"/>
      <c r="V47" s="156"/>
      <c r="W47" s="156"/>
      <c r="X47" s="156"/>
      <c r="Y47" s="156"/>
      <c r="Z47" s="156"/>
      <c r="AA47" s="157"/>
      <c r="AB47" s="158">
        <f>O47*R47</f>
        <v>0</v>
      </c>
      <c r="AC47" s="159"/>
      <c r="AD47" s="159"/>
      <c r="AE47" s="159"/>
      <c r="AF47" s="159"/>
      <c r="AG47" s="159"/>
      <c r="AH47" s="159"/>
      <c r="AI47" s="159"/>
      <c r="AJ47" s="159"/>
      <c r="AK47" s="160"/>
    </row>
    <row r="48" spans="1:67" ht="15" customHeight="1" x14ac:dyDescent="0.2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4"/>
      <c r="O48" s="32"/>
      <c r="P48" s="33"/>
      <c r="Q48" s="34"/>
      <c r="R48" s="155"/>
      <c r="S48" s="156"/>
      <c r="T48" s="156"/>
      <c r="U48" s="156"/>
      <c r="V48" s="156"/>
      <c r="W48" s="156"/>
      <c r="X48" s="156"/>
      <c r="Y48" s="156"/>
      <c r="Z48" s="156"/>
      <c r="AA48" s="157"/>
      <c r="AB48" s="158">
        <f t="shared" ref="AB48:AB51" si="0">O48*R48</f>
        <v>0</v>
      </c>
      <c r="AC48" s="159"/>
      <c r="AD48" s="159"/>
      <c r="AE48" s="159"/>
      <c r="AF48" s="159"/>
      <c r="AG48" s="159"/>
      <c r="AH48" s="159"/>
      <c r="AI48" s="159"/>
      <c r="AJ48" s="159"/>
      <c r="AK48" s="160"/>
    </row>
    <row r="49" spans="1:37" ht="15" customHeight="1" x14ac:dyDescent="0.25">
      <c r="A49" s="32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4"/>
      <c r="O49" s="32"/>
      <c r="P49" s="33"/>
      <c r="Q49" s="34"/>
      <c r="R49" s="155"/>
      <c r="S49" s="156"/>
      <c r="T49" s="156"/>
      <c r="U49" s="156"/>
      <c r="V49" s="156"/>
      <c r="W49" s="156"/>
      <c r="X49" s="156"/>
      <c r="Y49" s="156"/>
      <c r="Z49" s="156"/>
      <c r="AA49" s="157"/>
      <c r="AB49" s="158">
        <f t="shared" si="0"/>
        <v>0</v>
      </c>
      <c r="AC49" s="159"/>
      <c r="AD49" s="159"/>
      <c r="AE49" s="159"/>
      <c r="AF49" s="159"/>
      <c r="AG49" s="159"/>
      <c r="AH49" s="159"/>
      <c r="AI49" s="159"/>
      <c r="AJ49" s="159"/>
      <c r="AK49" s="160"/>
    </row>
    <row r="50" spans="1:37" ht="15" customHeight="1" x14ac:dyDescent="0.25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4"/>
      <c r="O50" s="32"/>
      <c r="P50" s="33"/>
      <c r="Q50" s="34"/>
      <c r="R50" s="155"/>
      <c r="S50" s="156"/>
      <c r="T50" s="156"/>
      <c r="U50" s="156"/>
      <c r="V50" s="156"/>
      <c r="W50" s="156"/>
      <c r="X50" s="156"/>
      <c r="Y50" s="156"/>
      <c r="Z50" s="156"/>
      <c r="AA50" s="157"/>
      <c r="AB50" s="158">
        <f t="shared" si="0"/>
        <v>0</v>
      </c>
      <c r="AC50" s="159"/>
      <c r="AD50" s="159"/>
      <c r="AE50" s="159"/>
      <c r="AF50" s="159"/>
      <c r="AG50" s="159"/>
      <c r="AH50" s="159"/>
      <c r="AI50" s="159"/>
      <c r="AJ50" s="159"/>
      <c r="AK50" s="160"/>
    </row>
    <row r="51" spans="1:37" ht="15" customHeight="1" x14ac:dyDescent="0.25">
      <c r="A51" s="32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4"/>
      <c r="O51" s="32"/>
      <c r="P51" s="33"/>
      <c r="Q51" s="34"/>
      <c r="R51" s="155"/>
      <c r="S51" s="156"/>
      <c r="T51" s="156"/>
      <c r="U51" s="156"/>
      <c r="V51" s="156"/>
      <c r="W51" s="156"/>
      <c r="X51" s="156"/>
      <c r="Y51" s="156"/>
      <c r="Z51" s="156"/>
      <c r="AA51" s="157"/>
      <c r="AB51" s="158">
        <f t="shared" si="0"/>
        <v>0</v>
      </c>
      <c r="AC51" s="159"/>
      <c r="AD51" s="159"/>
      <c r="AE51" s="159"/>
      <c r="AF51" s="159"/>
      <c r="AG51" s="159"/>
      <c r="AH51" s="159"/>
      <c r="AI51" s="159"/>
      <c r="AJ51" s="159"/>
      <c r="AK51" s="160"/>
    </row>
    <row r="52" spans="1:37" ht="15" customHeight="1" x14ac:dyDescent="0.25">
      <c r="A52" s="161" t="s">
        <v>35</v>
      </c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3"/>
      <c r="O52" s="164">
        <f>SUM(O47:Q51)</f>
        <v>0</v>
      </c>
      <c r="P52" s="165"/>
      <c r="Q52" s="166"/>
      <c r="R52" s="167"/>
      <c r="S52" s="168"/>
      <c r="T52" s="168"/>
      <c r="U52" s="168"/>
      <c r="V52" s="168"/>
      <c r="W52" s="168"/>
      <c r="X52" s="168"/>
      <c r="Y52" s="168"/>
      <c r="Z52" s="168"/>
      <c r="AA52" s="169"/>
      <c r="AB52" s="170">
        <f>SUM(AB47:AK51)</f>
        <v>0</v>
      </c>
      <c r="AC52" s="171"/>
      <c r="AD52" s="171"/>
      <c r="AE52" s="171"/>
      <c r="AF52" s="171"/>
      <c r="AG52" s="171"/>
      <c r="AH52" s="171"/>
      <c r="AI52" s="171"/>
      <c r="AJ52" s="171"/>
      <c r="AK52" s="172"/>
    </row>
    <row r="53" spans="1:37" ht="12.75" customHeight="1" x14ac:dyDescent="0.25">
      <c r="A53" s="147" t="s">
        <v>59</v>
      </c>
      <c r="B53" s="127"/>
      <c r="C53" s="127"/>
      <c r="D53" s="127"/>
      <c r="E53" s="127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53"/>
    </row>
    <row r="54" spans="1:37" ht="12.75" customHeight="1" x14ac:dyDescent="0.25">
      <c r="A54" s="173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5"/>
    </row>
    <row r="55" spans="1:37" ht="2.25" customHeight="1" x14ac:dyDescent="0.25">
      <c r="A55" s="129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30"/>
    </row>
    <row r="56" spans="1:37" ht="12.75" customHeight="1" x14ac:dyDescent="0.25">
      <c r="A56" s="85" t="s">
        <v>60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7"/>
    </row>
    <row r="57" spans="1:37" ht="17.25" customHeight="1" x14ac:dyDescent="0.25">
      <c r="A57" s="141" t="s">
        <v>61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53"/>
      <c r="O57" s="143" t="s">
        <v>62</v>
      </c>
      <c r="P57" s="133"/>
      <c r="Q57" s="133"/>
      <c r="R57" s="134"/>
      <c r="S57" s="41" t="s">
        <v>63</v>
      </c>
      <c r="T57" s="41"/>
      <c r="U57" s="41"/>
      <c r="V57" s="41"/>
      <c r="W57" s="41"/>
      <c r="X57" s="41"/>
      <c r="Y57" s="41"/>
      <c r="Z57" s="41"/>
      <c r="AA57" s="41"/>
      <c r="AB57" s="18" t="s">
        <v>64</v>
      </c>
      <c r="AC57" s="19"/>
      <c r="AD57" s="19"/>
      <c r="AE57" s="19"/>
      <c r="AF57" s="19"/>
      <c r="AG57" s="19"/>
      <c r="AH57" s="19"/>
      <c r="AI57" s="19"/>
      <c r="AJ57" s="19"/>
      <c r="AK57" s="20"/>
    </row>
    <row r="58" spans="1:37" ht="19.5" customHeight="1" x14ac:dyDescent="0.25">
      <c r="A58" s="176" t="s">
        <v>65</v>
      </c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8"/>
      <c r="O58" s="32"/>
      <c r="P58" s="33"/>
      <c r="Q58" s="33"/>
      <c r="R58" s="34"/>
      <c r="S58" s="179"/>
      <c r="T58" s="180"/>
      <c r="U58" s="180"/>
      <c r="V58" s="180"/>
      <c r="W58" s="180"/>
      <c r="X58" s="180"/>
      <c r="Y58" s="180"/>
      <c r="Z58" s="180"/>
      <c r="AA58" s="180"/>
      <c r="AB58" s="181">
        <f>O58*S58</f>
        <v>0</v>
      </c>
      <c r="AC58" s="182"/>
      <c r="AD58" s="182"/>
      <c r="AE58" s="182"/>
      <c r="AF58" s="182"/>
      <c r="AG58" s="182"/>
      <c r="AH58" s="182"/>
      <c r="AI58" s="182"/>
      <c r="AJ58" s="182"/>
      <c r="AK58" s="183"/>
    </row>
    <row r="59" spans="1:37" ht="15" customHeight="1" x14ac:dyDescent="0.25">
      <c r="A59" s="141" t="s">
        <v>66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53"/>
      <c r="O59" s="32"/>
      <c r="P59" s="33"/>
      <c r="Q59" s="33"/>
      <c r="R59" s="34"/>
      <c r="S59" s="179"/>
      <c r="T59" s="180"/>
      <c r="U59" s="180"/>
      <c r="V59" s="180"/>
      <c r="W59" s="180"/>
      <c r="X59" s="180"/>
      <c r="Y59" s="180"/>
      <c r="Z59" s="180"/>
      <c r="AA59" s="180"/>
      <c r="AB59" s="181">
        <f>O59*S59</f>
        <v>0</v>
      </c>
      <c r="AC59" s="182"/>
      <c r="AD59" s="182"/>
      <c r="AE59" s="182"/>
      <c r="AF59" s="182"/>
      <c r="AG59" s="182"/>
      <c r="AH59" s="182"/>
      <c r="AI59" s="182"/>
      <c r="AJ59" s="182"/>
      <c r="AK59" s="183"/>
    </row>
    <row r="60" spans="1:37" ht="15" customHeight="1" x14ac:dyDescent="0.25">
      <c r="A60" s="85" t="s">
        <v>35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7"/>
      <c r="O60" s="186">
        <f>SUM(O58:R59)</f>
        <v>0</v>
      </c>
      <c r="P60" s="187"/>
      <c r="Q60" s="187"/>
      <c r="R60" s="188"/>
      <c r="S60" s="189"/>
      <c r="T60" s="189"/>
      <c r="U60" s="189"/>
      <c r="V60" s="189"/>
      <c r="W60" s="189"/>
      <c r="X60" s="189"/>
      <c r="Y60" s="189"/>
      <c r="Z60" s="189"/>
      <c r="AA60" s="189"/>
      <c r="AB60" s="190">
        <f>SUM(AB58:AK59)</f>
        <v>0</v>
      </c>
      <c r="AC60" s="191"/>
      <c r="AD60" s="191"/>
      <c r="AE60" s="191"/>
      <c r="AF60" s="191"/>
      <c r="AG60" s="191"/>
      <c r="AH60" s="191"/>
      <c r="AI60" s="191"/>
      <c r="AJ60" s="191"/>
      <c r="AK60" s="192"/>
    </row>
    <row r="61" spans="1:37" ht="2.25" customHeight="1" x14ac:dyDescent="0.25">
      <c r="A61" s="91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4"/>
    </row>
    <row r="62" spans="1:37" ht="12.75" customHeight="1" x14ac:dyDescent="0.25">
      <c r="A62" s="85" t="s">
        <v>67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7"/>
    </row>
    <row r="63" spans="1:37" ht="12.75" customHeight="1" x14ac:dyDescent="0.25">
      <c r="A63" s="18" t="s">
        <v>68</v>
      </c>
      <c r="B63" s="19"/>
      <c r="C63" s="19"/>
      <c r="D63" s="19"/>
      <c r="E63" s="19"/>
      <c r="F63" s="19"/>
      <c r="G63" s="19"/>
      <c r="H63" s="20"/>
      <c r="I63" s="184" t="s">
        <v>69</v>
      </c>
      <c r="J63" s="184"/>
      <c r="K63" s="184"/>
      <c r="L63" s="185" t="s">
        <v>70</v>
      </c>
      <c r="M63" s="133"/>
      <c r="N63" s="133"/>
      <c r="O63" s="133"/>
      <c r="P63" s="133"/>
      <c r="Q63" s="133"/>
      <c r="R63" s="133"/>
      <c r="S63" s="133"/>
      <c r="T63" s="134"/>
      <c r="U63" s="185" t="s">
        <v>64</v>
      </c>
      <c r="V63" s="133"/>
      <c r="W63" s="133"/>
      <c r="X63" s="133"/>
      <c r="Y63" s="133"/>
      <c r="Z63" s="133"/>
      <c r="AA63" s="133"/>
      <c r="AB63" s="133"/>
      <c r="AC63" s="134"/>
      <c r="AD63" s="18" t="s">
        <v>11</v>
      </c>
      <c r="AE63" s="19"/>
      <c r="AF63" s="19"/>
      <c r="AG63" s="19"/>
      <c r="AH63" s="19"/>
      <c r="AI63" s="19"/>
      <c r="AJ63" s="19"/>
      <c r="AK63" s="20"/>
    </row>
    <row r="64" spans="1:37" ht="15" customHeight="1" x14ac:dyDescent="0.25">
      <c r="A64" s="141" t="s">
        <v>71</v>
      </c>
      <c r="B64" s="142"/>
      <c r="C64" s="142"/>
      <c r="D64" s="142"/>
      <c r="E64" s="142"/>
      <c r="F64" s="142"/>
      <c r="G64" s="142"/>
      <c r="H64" s="153"/>
      <c r="I64" s="22"/>
      <c r="J64" s="22"/>
      <c r="K64" s="22"/>
      <c r="L64" s="193"/>
      <c r="M64" s="193"/>
      <c r="N64" s="193"/>
      <c r="O64" s="193"/>
      <c r="P64" s="193"/>
      <c r="Q64" s="193"/>
      <c r="R64" s="193"/>
      <c r="S64" s="193"/>
      <c r="T64" s="193"/>
      <c r="U64" s="194">
        <f>I64*L64</f>
        <v>0</v>
      </c>
      <c r="V64" s="194"/>
      <c r="W64" s="194"/>
      <c r="X64" s="194"/>
      <c r="Y64" s="194"/>
      <c r="Z64" s="194"/>
      <c r="AA64" s="194"/>
      <c r="AB64" s="194"/>
      <c r="AC64" s="194"/>
      <c r="AD64" s="32"/>
      <c r="AE64" s="33"/>
      <c r="AF64" s="33"/>
      <c r="AG64" s="33"/>
      <c r="AH64" s="33"/>
      <c r="AI64" s="33"/>
      <c r="AJ64" s="33"/>
      <c r="AK64" s="34"/>
    </row>
    <row r="65" spans="1:37" ht="15" customHeight="1" x14ac:dyDescent="0.25">
      <c r="A65" s="141" t="s">
        <v>72</v>
      </c>
      <c r="B65" s="142"/>
      <c r="C65" s="142"/>
      <c r="D65" s="142"/>
      <c r="E65" s="142"/>
      <c r="F65" s="142"/>
      <c r="G65" s="142"/>
      <c r="H65" s="153"/>
      <c r="I65" s="22"/>
      <c r="J65" s="22"/>
      <c r="K65" s="22"/>
      <c r="L65" s="193"/>
      <c r="M65" s="193"/>
      <c r="N65" s="193"/>
      <c r="O65" s="193"/>
      <c r="P65" s="193"/>
      <c r="Q65" s="193"/>
      <c r="R65" s="193"/>
      <c r="S65" s="193"/>
      <c r="T65" s="193"/>
      <c r="U65" s="194">
        <f t="shared" ref="U65:U68" si="1">I65*L65</f>
        <v>0</v>
      </c>
      <c r="V65" s="194"/>
      <c r="W65" s="194"/>
      <c r="X65" s="194"/>
      <c r="Y65" s="194"/>
      <c r="Z65" s="194"/>
      <c r="AA65" s="194"/>
      <c r="AB65" s="194"/>
      <c r="AC65" s="194"/>
      <c r="AD65" s="32"/>
      <c r="AE65" s="33"/>
      <c r="AF65" s="33"/>
      <c r="AG65" s="33"/>
      <c r="AH65" s="33"/>
      <c r="AI65" s="33"/>
      <c r="AJ65" s="33"/>
      <c r="AK65" s="34"/>
    </row>
    <row r="66" spans="1:37" ht="15" customHeight="1" x14ac:dyDescent="0.25">
      <c r="A66" s="141" t="s">
        <v>73</v>
      </c>
      <c r="B66" s="142"/>
      <c r="C66" s="142"/>
      <c r="D66" s="142"/>
      <c r="E66" s="142"/>
      <c r="F66" s="142"/>
      <c r="G66" s="142"/>
      <c r="H66" s="153"/>
      <c r="I66" s="22"/>
      <c r="J66" s="22"/>
      <c r="K66" s="22"/>
      <c r="L66" s="193"/>
      <c r="M66" s="193"/>
      <c r="N66" s="193"/>
      <c r="O66" s="193"/>
      <c r="P66" s="193"/>
      <c r="Q66" s="193"/>
      <c r="R66" s="193"/>
      <c r="S66" s="193"/>
      <c r="T66" s="193"/>
      <c r="U66" s="194">
        <f t="shared" si="1"/>
        <v>0</v>
      </c>
      <c r="V66" s="194"/>
      <c r="W66" s="194"/>
      <c r="X66" s="194"/>
      <c r="Y66" s="194"/>
      <c r="Z66" s="194"/>
      <c r="AA66" s="194"/>
      <c r="AB66" s="194"/>
      <c r="AC66" s="194"/>
      <c r="AD66" s="32"/>
      <c r="AE66" s="33"/>
      <c r="AF66" s="33"/>
      <c r="AG66" s="33"/>
      <c r="AH66" s="33"/>
      <c r="AI66" s="33"/>
      <c r="AJ66" s="33"/>
      <c r="AK66" s="34"/>
    </row>
    <row r="67" spans="1:37" ht="15" customHeight="1" x14ac:dyDescent="0.25">
      <c r="A67" s="141" t="s">
        <v>74</v>
      </c>
      <c r="B67" s="142"/>
      <c r="C67" s="142"/>
      <c r="D67" s="142"/>
      <c r="E67" s="142"/>
      <c r="F67" s="142"/>
      <c r="G67" s="142"/>
      <c r="H67" s="153"/>
      <c r="I67" s="22"/>
      <c r="J67" s="22"/>
      <c r="K67" s="22"/>
      <c r="L67" s="193"/>
      <c r="M67" s="193"/>
      <c r="N67" s="193"/>
      <c r="O67" s="193"/>
      <c r="P67" s="193"/>
      <c r="Q67" s="193"/>
      <c r="R67" s="193"/>
      <c r="S67" s="193"/>
      <c r="T67" s="193"/>
      <c r="U67" s="194">
        <f t="shared" si="1"/>
        <v>0</v>
      </c>
      <c r="V67" s="194"/>
      <c r="W67" s="194"/>
      <c r="X67" s="194"/>
      <c r="Y67" s="194"/>
      <c r="Z67" s="194"/>
      <c r="AA67" s="194"/>
      <c r="AB67" s="194"/>
      <c r="AC67" s="194"/>
      <c r="AD67" s="32"/>
      <c r="AE67" s="33"/>
      <c r="AF67" s="33"/>
      <c r="AG67" s="33"/>
      <c r="AH67" s="33"/>
      <c r="AI67" s="33"/>
      <c r="AJ67" s="33"/>
      <c r="AK67" s="34"/>
    </row>
    <row r="68" spans="1:37" ht="15" customHeight="1" x14ac:dyDescent="0.25">
      <c r="A68" s="141" t="s">
        <v>6</v>
      </c>
      <c r="B68" s="142"/>
      <c r="C68" s="142"/>
      <c r="D68" s="142"/>
      <c r="E68" s="142"/>
      <c r="F68" s="142"/>
      <c r="G68" s="142"/>
      <c r="H68" s="153"/>
      <c r="I68" s="22"/>
      <c r="J68" s="22"/>
      <c r="K68" s="22"/>
      <c r="L68" s="193"/>
      <c r="M68" s="193"/>
      <c r="N68" s="193"/>
      <c r="O68" s="193"/>
      <c r="P68" s="193"/>
      <c r="Q68" s="193"/>
      <c r="R68" s="193"/>
      <c r="S68" s="193"/>
      <c r="T68" s="193"/>
      <c r="U68" s="194">
        <f t="shared" si="1"/>
        <v>0</v>
      </c>
      <c r="V68" s="194"/>
      <c r="W68" s="194"/>
      <c r="X68" s="194"/>
      <c r="Y68" s="194"/>
      <c r="Z68" s="194"/>
      <c r="AA68" s="194"/>
      <c r="AB68" s="194"/>
      <c r="AC68" s="194"/>
      <c r="AD68" s="32"/>
      <c r="AE68" s="33"/>
      <c r="AF68" s="33"/>
      <c r="AG68" s="33"/>
      <c r="AH68" s="33"/>
      <c r="AI68" s="33"/>
      <c r="AJ68" s="33"/>
      <c r="AK68" s="34"/>
    </row>
    <row r="69" spans="1:37" ht="15" customHeight="1" x14ac:dyDescent="0.25">
      <c r="A69" s="195" t="s">
        <v>35</v>
      </c>
      <c r="B69" s="195"/>
      <c r="C69" s="195"/>
      <c r="D69" s="195"/>
      <c r="E69" s="195"/>
      <c r="F69" s="195"/>
      <c r="G69" s="195"/>
      <c r="H69" s="195"/>
      <c r="I69" s="196"/>
      <c r="J69" s="196"/>
      <c r="K69" s="197"/>
      <c r="L69" s="198"/>
      <c r="M69" s="198"/>
      <c r="N69" s="198"/>
      <c r="O69" s="198"/>
      <c r="P69" s="198"/>
      <c r="Q69" s="198"/>
      <c r="R69" s="198"/>
      <c r="S69" s="198"/>
      <c r="T69" s="198"/>
      <c r="U69" s="190">
        <f>SUM(U64:AC68)</f>
        <v>0</v>
      </c>
      <c r="V69" s="191"/>
      <c r="W69" s="191"/>
      <c r="X69" s="191"/>
      <c r="Y69" s="191"/>
      <c r="Z69" s="191"/>
      <c r="AA69" s="191"/>
      <c r="AB69" s="191"/>
      <c r="AC69" s="191"/>
      <c r="AD69" s="198"/>
      <c r="AE69" s="198"/>
      <c r="AF69" s="198"/>
      <c r="AG69" s="198"/>
      <c r="AH69" s="198"/>
      <c r="AI69" s="198"/>
      <c r="AJ69" s="198"/>
      <c r="AK69" s="198"/>
    </row>
    <row r="70" spans="1:37" ht="15" customHeight="1" x14ac:dyDescent="0.25">
      <c r="A70" s="237"/>
      <c r="B70" s="238"/>
      <c r="C70" s="238"/>
      <c r="D70" s="238"/>
      <c r="E70" s="238"/>
      <c r="F70" s="238"/>
      <c r="G70" s="239"/>
      <c r="H70" s="72" t="s">
        <v>4</v>
      </c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3" t="s">
        <v>1</v>
      </c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spans="1:37" ht="15" customHeight="1" x14ac:dyDescent="0.25">
      <c r="A71" s="240"/>
      <c r="B71" s="241"/>
      <c r="C71" s="241"/>
      <c r="D71" s="241"/>
      <c r="E71" s="241"/>
      <c r="F71" s="241"/>
      <c r="G71" s="24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3" t="s">
        <v>3</v>
      </c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spans="1:37" ht="15" customHeight="1" x14ac:dyDescent="0.25">
      <c r="A72" s="240"/>
      <c r="B72" s="241"/>
      <c r="C72" s="241"/>
      <c r="D72" s="241"/>
      <c r="E72" s="241"/>
      <c r="F72" s="241"/>
      <c r="G72" s="242"/>
      <c r="H72" s="74" t="s">
        <v>0</v>
      </c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3" t="s">
        <v>2</v>
      </c>
      <c r="X72" s="73"/>
      <c r="Y72" s="73"/>
      <c r="Z72" s="73"/>
      <c r="AA72" s="73"/>
      <c r="AB72" s="73"/>
      <c r="AC72" s="73"/>
      <c r="AD72" s="73" t="s">
        <v>9</v>
      </c>
      <c r="AE72" s="73"/>
      <c r="AF72" s="73"/>
      <c r="AG72" s="73"/>
      <c r="AH72" s="73"/>
      <c r="AI72" s="73"/>
      <c r="AJ72" s="73"/>
      <c r="AK72" s="73"/>
    </row>
    <row r="73" spans="1:37" ht="15" customHeight="1" x14ac:dyDescent="0.25">
      <c r="A73" s="240"/>
      <c r="B73" s="241"/>
      <c r="C73" s="241"/>
      <c r="D73" s="241"/>
      <c r="E73" s="241"/>
      <c r="F73" s="241"/>
      <c r="G73" s="242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6" t="s">
        <v>145</v>
      </c>
      <c r="X73" s="76"/>
      <c r="Y73" s="76"/>
      <c r="Z73" s="76"/>
      <c r="AA73" s="76"/>
      <c r="AB73" s="76"/>
      <c r="AC73" s="76"/>
      <c r="AD73" s="77">
        <v>45166</v>
      </c>
      <c r="AE73" s="76"/>
      <c r="AF73" s="76"/>
      <c r="AG73" s="76"/>
      <c r="AH73" s="76"/>
      <c r="AI73" s="76"/>
      <c r="AJ73" s="76"/>
      <c r="AK73" s="76"/>
    </row>
    <row r="74" spans="1:37" ht="15" customHeight="1" x14ac:dyDescent="0.25">
      <c r="A74" s="95"/>
      <c r="B74" s="96"/>
      <c r="C74" s="96"/>
      <c r="D74" s="96"/>
      <c r="E74" s="96"/>
      <c r="F74" s="96"/>
      <c r="G74" s="97"/>
      <c r="H74" s="78" t="s">
        <v>139</v>
      </c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2"/>
    </row>
    <row r="75" spans="1:37" ht="3" customHeight="1" x14ac:dyDescent="0.25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7"/>
    </row>
    <row r="76" spans="1:37" ht="15" customHeight="1" x14ac:dyDescent="0.25">
      <c r="A76" s="85" t="s">
        <v>75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7"/>
    </row>
    <row r="77" spans="1:37" ht="15" customHeight="1" x14ac:dyDescent="0.25">
      <c r="A77" s="199" t="s">
        <v>138</v>
      </c>
      <c r="B77" s="200"/>
      <c r="C77" s="200"/>
      <c r="D77" s="201"/>
      <c r="E77" s="2"/>
      <c r="F77" s="199" t="s">
        <v>76</v>
      </c>
      <c r="G77" s="200"/>
      <c r="H77" s="201"/>
      <c r="I77" s="3"/>
      <c r="J77" s="202" t="s">
        <v>77</v>
      </c>
      <c r="K77" s="200"/>
      <c r="L77" s="201"/>
      <c r="M77" s="2"/>
      <c r="N77" s="199" t="s">
        <v>78</v>
      </c>
      <c r="O77" s="200"/>
      <c r="P77" s="201"/>
      <c r="Q77" s="2"/>
      <c r="R77" s="199" t="s">
        <v>79</v>
      </c>
      <c r="S77" s="200"/>
      <c r="T77" s="201"/>
      <c r="U77" s="2"/>
      <c r="V77" s="199" t="s">
        <v>80</v>
      </c>
      <c r="W77" s="200"/>
      <c r="X77" s="201"/>
      <c r="Y77" s="2"/>
      <c r="Z77" s="199" t="s">
        <v>81</v>
      </c>
      <c r="AA77" s="200"/>
      <c r="AB77" s="201"/>
      <c r="AC77" s="2"/>
      <c r="AD77" s="203"/>
      <c r="AE77" s="204"/>
      <c r="AF77" s="204"/>
      <c r="AG77" s="204"/>
      <c r="AH77" s="204"/>
      <c r="AI77" s="204"/>
      <c r="AJ77" s="204"/>
      <c r="AK77" s="205"/>
    </row>
    <row r="78" spans="1:37" ht="15" customHeight="1" x14ac:dyDescent="0.25">
      <c r="A78" s="202" t="s">
        <v>82</v>
      </c>
      <c r="B78" s="209"/>
      <c r="C78" s="209"/>
      <c r="D78" s="209"/>
      <c r="E78" s="209"/>
      <c r="F78" s="209"/>
      <c r="G78" s="209"/>
      <c r="H78" s="200" t="s">
        <v>83</v>
      </c>
      <c r="I78" s="200"/>
      <c r="J78" s="201"/>
      <c r="K78" s="207"/>
      <c r="L78" s="207"/>
      <c r="M78" s="208"/>
      <c r="N78" s="199" t="s">
        <v>84</v>
      </c>
      <c r="O78" s="201"/>
      <c r="P78" s="206"/>
      <c r="Q78" s="207"/>
      <c r="R78" s="208"/>
      <c r="S78" s="199" t="s">
        <v>85</v>
      </c>
      <c r="T78" s="200"/>
      <c r="U78" s="201"/>
      <c r="V78" s="206"/>
      <c r="W78" s="207"/>
      <c r="X78" s="208"/>
      <c r="Y78" s="199" t="s">
        <v>86</v>
      </c>
      <c r="Z78" s="201"/>
      <c r="AA78" s="206"/>
      <c r="AB78" s="207"/>
      <c r="AC78" s="208"/>
      <c r="AD78" s="203"/>
      <c r="AE78" s="204"/>
      <c r="AF78" s="204"/>
      <c r="AG78" s="204"/>
      <c r="AH78" s="204"/>
      <c r="AI78" s="204"/>
      <c r="AJ78" s="204"/>
      <c r="AK78" s="205"/>
    </row>
    <row r="79" spans="1:37" ht="15" customHeight="1" x14ac:dyDescent="0.25">
      <c r="A79" s="199" t="s">
        <v>87</v>
      </c>
      <c r="B79" s="200"/>
      <c r="C79" s="200"/>
      <c r="D79" s="200"/>
      <c r="E79" s="200"/>
      <c r="F79" s="209" t="s">
        <v>76</v>
      </c>
      <c r="G79" s="210"/>
      <c r="H79" s="8"/>
      <c r="I79" s="211" t="s">
        <v>88</v>
      </c>
      <c r="J79" s="212"/>
      <c r="K79" s="209"/>
      <c r="L79" s="209"/>
      <c r="M79" s="4"/>
      <c r="N79" s="202" t="s">
        <v>89</v>
      </c>
      <c r="O79" s="209"/>
      <c r="P79" s="209"/>
      <c r="Q79" s="209"/>
      <c r="R79" s="209"/>
      <c r="S79" s="209"/>
      <c r="T79" s="4"/>
      <c r="U79" s="202" t="s">
        <v>90</v>
      </c>
      <c r="V79" s="209"/>
      <c r="W79" s="4"/>
      <c r="X79" s="202" t="s">
        <v>91</v>
      </c>
      <c r="Y79" s="209"/>
      <c r="Z79" s="209"/>
      <c r="AA79" s="209"/>
      <c r="AB79" s="210"/>
      <c r="AC79" s="4"/>
      <c r="AD79" s="203"/>
      <c r="AE79" s="204"/>
      <c r="AF79" s="204"/>
      <c r="AG79" s="204"/>
      <c r="AH79" s="204"/>
      <c r="AI79" s="204"/>
      <c r="AJ79" s="204"/>
      <c r="AK79" s="205"/>
    </row>
    <row r="80" spans="1:37" ht="15" customHeight="1" x14ac:dyDescent="0.25">
      <c r="A80" s="199" t="s">
        <v>92</v>
      </c>
      <c r="B80" s="200"/>
      <c r="C80" s="200"/>
      <c r="D80" s="200"/>
      <c r="E80" s="200"/>
      <c r="F80" s="200"/>
      <c r="G80" s="200"/>
      <c r="H80" s="200" t="s">
        <v>93</v>
      </c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1"/>
      <c r="AD80" s="203"/>
      <c r="AE80" s="204"/>
      <c r="AF80" s="204"/>
      <c r="AG80" s="204"/>
      <c r="AH80" s="204"/>
      <c r="AI80" s="204"/>
      <c r="AJ80" s="204"/>
      <c r="AK80" s="205"/>
    </row>
    <row r="81" spans="1:37" ht="15" customHeight="1" x14ac:dyDescent="0.25">
      <c r="A81" s="109" t="s">
        <v>94</v>
      </c>
      <c r="B81" s="110"/>
      <c r="C81" s="110"/>
      <c r="D81" s="110"/>
      <c r="E81" s="110"/>
      <c r="F81" s="110"/>
      <c r="G81" s="110"/>
      <c r="H81" s="110"/>
      <c r="I81" s="110"/>
      <c r="J81" s="110"/>
      <c r="K81" s="111"/>
      <c r="L81" s="216" t="s">
        <v>95</v>
      </c>
      <c r="M81" s="217"/>
      <c r="N81" s="217"/>
      <c r="O81" s="218"/>
      <c r="P81" s="7"/>
      <c r="Q81" s="216" t="s">
        <v>96</v>
      </c>
      <c r="R81" s="217"/>
      <c r="S81" s="217"/>
      <c r="T81" s="218"/>
      <c r="U81" s="9"/>
      <c r="V81" s="216" t="s">
        <v>6</v>
      </c>
      <c r="W81" s="217"/>
      <c r="X81" s="207"/>
      <c r="Y81" s="207"/>
      <c r="Z81" s="207"/>
      <c r="AA81" s="207"/>
      <c r="AB81" s="207"/>
      <c r="AC81" s="208"/>
      <c r="AD81" s="203"/>
      <c r="AE81" s="204"/>
      <c r="AF81" s="204"/>
      <c r="AG81" s="204"/>
      <c r="AH81" s="204"/>
      <c r="AI81" s="204"/>
      <c r="AJ81" s="204"/>
      <c r="AK81" s="205"/>
    </row>
    <row r="82" spans="1:37" ht="15" customHeight="1" x14ac:dyDescent="0.25">
      <c r="A82" s="85" t="s">
        <v>103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7"/>
      <c r="AD82" s="190">
        <f>SUM(AD77:AK81)</f>
        <v>0</v>
      </c>
      <c r="AE82" s="191"/>
      <c r="AF82" s="191"/>
      <c r="AG82" s="191"/>
      <c r="AH82" s="191"/>
      <c r="AI82" s="191"/>
      <c r="AJ82" s="191"/>
      <c r="AK82" s="192"/>
    </row>
    <row r="83" spans="1:37" ht="2.25" customHeight="1" x14ac:dyDescent="0.25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</row>
    <row r="84" spans="1:37" ht="15" customHeight="1" x14ac:dyDescent="0.25">
      <c r="A84" s="85" t="s">
        <v>97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7"/>
    </row>
    <row r="85" spans="1:37" ht="22.5" customHeight="1" x14ac:dyDescent="0.25">
      <c r="A85" s="213" t="s">
        <v>129</v>
      </c>
      <c r="B85" s="214"/>
      <c r="C85" s="214"/>
      <c r="D85" s="215"/>
      <c r="E85" s="18" t="s">
        <v>98</v>
      </c>
      <c r="F85" s="19"/>
      <c r="G85" s="19"/>
      <c r="H85" s="19"/>
      <c r="I85" s="19"/>
      <c r="J85" s="19"/>
      <c r="K85" s="20"/>
      <c r="L85" s="18" t="s">
        <v>99</v>
      </c>
      <c r="M85" s="19"/>
      <c r="N85" s="19"/>
      <c r="O85" s="19"/>
      <c r="P85" s="19"/>
      <c r="Q85" s="19"/>
      <c r="R85" s="20"/>
      <c r="S85" s="16"/>
      <c r="T85" s="213" t="s">
        <v>128</v>
      </c>
      <c r="U85" s="214"/>
      <c r="V85" s="214"/>
      <c r="W85" s="215"/>
      <c r="X85" s="18" t="s">
        <v>98</v>
      </c>
      <c r="Y85" s="19"/>
      <c r="Z85" s="19"/>
      <c r="AA85" s="19"/>
      <c r="AB85" s="19"/>
      <c r="AC85" s="19"/>
      <c r="AD85" s="20"/>
      <c r="AE85" s="18" t="s">
        <v>99</v>
      </c>
      <c r="AF85" s="19"/>
      <c r="AG85" s="19"/>
      <c r="AH85" s="19"/>
      <c r="AI85" s="19"/>
      <c r="AJ85" s="19"/>
      <c r="AK85" s="20"/>
    </row>
    <row r="86" spans="1:37" ht="15" customHeight="1" x14ac:dyDescent="0.25">
      <c r="A86" s="32"/>
      <c r="B86" s="33"/>
      <c r="C86" s="33"/>
      <c r="D86" s="34"/>
      <c r="E86" s="32"/>
      <c r="F86" s="34"/>
      <c r="G86" s="32"/>
      <c r="H86" s="34"/>
      <c r="I86" s="32"/>
      <c r="J86" s="33"/>
      <c r="K86" s="34"/>
      <c r="L86" s="32"/>
      <c r="M86" s="34"/>
      <c r="N86" s="32"/>
      <c r="O86" s="34"/>
      <c r="P86" s="32"/>
      <c r="Q86" s="33"/>
      <c r="R86" s="34"/>
      <c r="S86" s="16"/>
      <c r="T86" s="32"/>
      <c r="U86" s="33"/>
      <c r="V86" s="33"/>
      <c r="W86" s="34"/>
      <c r="X86" s="32"/>
      <c r="Y86" s="34"/>
      <c r="Z86" s="32"/>
      <c r="AA86" s="34"/>
      <c r="AB86" s="32"/>
      <c r="AC86" s="33"/>
      <c r="AD86" s="34"/>
      <c r="AE86" s="32"/>
      <c r="AF86" s="34"/>
      <c r="AG86" s="32"/>
      <c r="AH86" s="34"/>
      <c r="AI86" s="32"/>
      <c r="AJ86" s="33"/>
      <c r="AK86" s="34"/>
    </row>
    <row r="87" spans="1:37" ht="15" customHeight="1" x14ac:dyDescent="0.25">
      <c r="A87" s="219"/>
      <c r="B87" s="220"/>
      <c r="C87" s="220"/>
      <c r="D87" s="221"/>
      <c r="E87" s="32"/>
      <c r="F87" s="34"/>
      <c r="G87" s="32"/>
      <c r="H87" s="34"/>
      <c r="I87" s="32"/>
      <c r="J87" s="33"/>
      <c r="K87" s="34"/>
      <c r="L87" s="32"/>
      <c r="M87" s="34"/>
      <c r="N87" s="32"/>
      <c r="O87" s="34"/>
      <c r="P87" s="32"/>
      <c r="Q87" s="33"/>
      <c r="R87" s="34"/>
      <c r="S87" s="16"/>
      <c r="T87" s="32"/>
      <c r="U87" s="33"/>
      <c r="V87" s="33"/>
      <c r="W87" s="34"/>
      <c r="X87" s="32"/>
      <c r="Y87" s="34"/>
      <c r="Z87" s="32"/>
      <c r="AA87" s="34"/>
      <c r="AB87" s="32"/>
      <c r="AC87" s="33"/>
      <c r="AD87" s="34"/>
      <c r="AE87" s="32"/>
      <c r="AF87" s="34"/>
      <c r="AG87" s="32"/>
      <c r="AH87" s="34"/>
      <c r="AI87" s="32"/>
      <c r="AJ87" s="33"/>
      <c r="AK87" s="34"/>
    </row>
    <row r="88" spans="1:37" ht="15" customHeight="1" x14ac:dyDescent="0.25">
      <c r="A88" s="219"/>
      <c r="B88" s="220"/>
      <c r="C88" s="220"/>
      <c r="D88" s="221"/>
      <c r="E88" s="32"/>
      <c r="F88" s="34"/>
      <c r="G88" s="32"/>
      <c r="H88" s="34"/>
      <c r="I88" s="32"/>
      <c r="J88" s="33"/>
      <c r="K88" s="34"/>
      <c r="L88" s="32"/>
      <c r="M88" s="34"/>
      <c r="N88" s="32"/>
      <c r="O88" s="34"/>
      <c r="P88" s="32"/>
      <c r="Q88" s="33"/>
      <c r="R88" s="34"/>
      <c r="S88" s="16"/>
      <c r="T88" s="32"/>
      <c r="U88" s="33"/>
      <c r="V88" s="33"/>
      <c r="W88" s="34"/>
      <c r="X88" s="32"/>
      <c r="Y88" s="34"/>
      <c r="Z88" s="32"/>
      <c r="AA88" s="34"/>
      <c r="AB88" s="32"/>
      <c r="AC88" s="33"/>
      <c r="AD88" s="34"/>
      <c r="AE88" s="32"/>
      <c r="AF88" s="34"/>
      <c r="AG88" s="32"/>
      <c r="AH88" s="34"/>
      <c r="AI88" s="32"/>
      <c r="AJ88" s="33"/>
      <c r="AK88" s="34"/>
    </row>
    <row r="89" spans="1:37" ht="2.25" customHeight="1" x14ac:dyDescent="0.25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8"/>
    </row>
    <row r="90" spans="1:37" ht="15" customHeight="1" x14ac:dyDescent="0.25">
      <c r="A90" s="243" t="s">
        <v>100</v>
      </c>
      <c r="B90" s="244"/>
      <c r="C90" s="244"/>
      <c r="D90" s="244"/>
      <c r="E90" s="244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6"/>
    </row>
    <row r="91" spans="1:37" ht="15" customHeight="1" x14ac:dyDescent="0.25">
      <c r="A91" s="222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4"/>
    </row>
    <row r="92" spans="1:37" ht="15" customHeight="1" x14ac:dyDescent="0.25">
      <c r="A92" s="85" t="s">
        <v>101</v>
      </c>
      <c r="B92" s="86"/>
      <c r="C92" s="86"/>
      <c r="D92" s="86"/>
      <c r="E92" s="86"/>
      <c r="F92" s="86"/>
      <c r="G92" s="86"/>
      <c r="H92" s="86"/>
      <c r="I92" s="86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7"/>
    </row>
    <row r="93" spans="1:37" ht="15" customHeight="1" x14ac:dyDescent="0.25">
      <c r="A93" s="141" t="s">
        <v>102</v>
      </c>
      <c r="B93" s="142"/>
      <c r="C93" s="142"/>
      <c r="D93" s="142"/>
      <c r="E93" s="24"/>
      <c r="F93" s="24"/>
      <c r="G93" s="24"/>
      <c r="H93" s="24"/>
      <c r="I93" s="24"/>
      <c r="J93" s="141" t="s">
        <v>133</v>
      </c>
      <c r="K93" s="142"/>
      <c r="L93" s="142"/>
      <c r="M93" s="142"/>
      <c r="N93" s="204"/>
      <c r="O93" s="204"/>
      <c r="P93" s="204"/>
      <c r="Q93" s="204"/>
      <c r="R93" s="204"/>
      <c r="S93" s="204"/>
      <c r="T93" s="204"/>
      <c r="U93" s="204"/>
      <c r="V93" s="205"/>
      <c r="W93" s="19" t="s">
        <v>103</v>
      </c>
      <c r="X93" s="19"/>
      <c r="Y93" s="19"/>
      <c r="Z93" s="19"/>
      <c r="AA93" s="19"/>
      <c r="AB93" s="115">
        <f>E93*N93</f>
        <v>0</v>
      </c>
      <c r="AC93" s="116"/>
      <c r="AD93" s="116"/>
      <c r="AE93" s="116"/>
      <c r="AF93" s="116"/>
      <c r="AG93" s="116"/>
      <c r="AH93" s="116"/>
      <c r="AI93" s="116"/>
      <c r="AJ93" s="116"/>
      <c r="AK93" s="116"/>
    </row>
    <row r="94" spans="1:37" ht="2.25" customHeight="1" x14ac:dyDescent="0.25">
      <c r="A94" s="91"/>
      <c r="B94" s="92"/>
      <c r="C94" s="92"/>
      <c r="D94" s="92"/>
      <c r="E94" s="92"/>
      <c r="F94" s="92"/>
      <c r="G94" s="92"/>
      <c r="H94" s="92"/>
      <c r="I94" s="92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4"/>
    </row>
    <row r="95" spans="1:37" ht="15" customHeight="1" x14ac:dyDescent="0.25">
      <c r="A95" s="88" t="s">
        <v>130</v>
      </c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90"/>
    </row>
    <row r="96" spans="1:37" ht="2.25" customHeight="1" x14ac:dyDescent="0.25">
      <c r="A96" s="85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7"/>
    </row>
    <row r="97" spans="1:37" ht="15" customHeight="1" x14ac:dyDescent="0.25">
      <c r="A97" s="106" t="s">
        <v>104</v>
      </c>
      <c r="B97" s="107"/>
      <c r="C97" s="107"/>
      <c r="D97" s="107"/>
      <c r="E97" s="107"/>
      <c r="F97" s="107"/>
      <c r="G97" s="107"/>
      <c r="H97" s="107"/>
      <c r="I97" s="107"/>
      <c r="J97" s="110" t="s">
        <v>131</v>
      </c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1"/>
      <c r="AB97" s="23"/>
      <c r="AC97" s="25"/>
      <c r="AD97" s="109" t="s">
        <v>105</v>
      </c>
      <c r="AE97" s="110"/>
      <c r="AF97" s="110"/>
      <c r="AG97" s="110"/>
      <c r="AH97" s="110"/>
      <c r="AI97" s="111"/>
      <c r="AJ97" s="206"/>
      <c r="AK97" s="208"/>
    </row>
    <row r="98" spans="1:37" ht="2.25" customHeight="1" x14ac:dyDescent="0.25">
      <c r="A98" s="109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1"/>
    </row>
    <row r="99" spans="1:37" ht="15" customHeight="1" x14ac:dyDescent="0.25">
      <c r="A99" s="233" t="s">
        <v>106</v>
      </c>
      <c r="B99" s="234"/>
      <c r="C99" s="234"/>
      <c r="D99" s="234"/>
      <c r="E99" s="207"/>
      <c r="F99" s="207"/>
      <c r="G99" s="208"/>
      <c r="H99" s="110" t="s">
        <v>107</v>
      </c>
      <c r="I99" s="110"/>
      <c r="J99" s="110"/>
      <c r="K99" s="110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5"/>
      <c r="AE99" s="235"/>
      <c r="AF99" s="235"/>
      <c r="AG99" s="235"/>
      <c r="AH99" s="235"/>
      <c r="AI99" s="235"/>
      <c r="AJ99" s="235"/>
      <c r="AK99" s="236"/>
    </row>
    <row r="100" spans="1:37" ht="2.25" customHeight="1" x14ac:dyDescent="0.25">
      <c r="A100" s="109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1"/>
    </row>
    <row r="101" spans="1:37" ht="27" customHeight="1" x14ac:dyDescent="0.25">
      <c r="A101" s="118" t="s">
        <v>143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20"/>
      <c r="AF101" s="121">
        <v>8257</v>
      </c>
      <c r="AG101" s="122"/>
      <c r="AH101" s="122"/>
      <c r="AI101" s="122"/>
      <c r="AJ101" s="122"/>
      <c r="AK101" s="123"/>
    </row>
    <row r="102" spans="1:37" ht="2.25" customHeight="1" x14ac:dyDescent="0.25">
      <c r="A102" s="109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1"/>
    </row>
    <row r="103" spans="1:37" ht="15" customHeight="1" x14ac:dyDescent="0.25">
      <c r="A103" s="106" t="s">
        <v>132</v>
      </c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8"/>
      <c r="AF103" s="115">
        <f>E99*AF101</f>
        <v>0</v>
      </c>
      <c r="AG103" s="116"/>
      <c r="AH103" s="116"/>
      <c r="AI103" s="116"/>
      <c r="AJ103" s="116"/>
      <c r="AK103" s="116"/>
    </row>
    <row r="104" spans="1:37" ht="15" customHeight="1" x14ac:dyDescent="0.25">
      <c r="A104" s="88" t="s">
        <v>134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90"/>
      <c r="Y104" s="115">
        <f>SUM(AB60+U69+AD82+AB93+AF103)</f>
        <v>0</v>
      </c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7"/>
    </row>
    <row r="105" spans="1:37" ht="2.25" customHeight="1" x14ac:dyDescent="0.25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20"/>
    </row>
    <row r="106" spans="1:37" ht="26.25" customHeight="1" x14ac:dyDescent="0.25">
      <c r="A106" s="106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112"/>
    </row>
    <row r="107" spans="1:37" ht="16.5" customHeight="1" x14ac:dyDescent="0.25">
      <c r="A107" s="85" t="s">
        <v>108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4"/>
    </row>
    <row r="108" spans="1:37" ht="15" customHeight="1" x14ac:dyDescent="0.25">
      <c r="A108" s="84" t="s">
        <v>141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</row>
    <row r="109" spans="1:37" s="13" customFormat="1" x14ac:dyDescent="0.25"/>
    <row r="110" spans="1:37" s="13" customFormat="1" x14ac:dyDescent="0.25"/>
    <row r="111" spans="1:37" s="13" customFormat="1" x14ac:dyDescent="0.25"/>
    <row r="112" spans="1:37" s="13" customFormat="1" x14ac:dyDescent="0.25"/>
    <row r="113" s="13" customFormat="1" x14ac:dyDescent="0.25"/>
    <row r="114" s="13" customFormat="1" x14ac:dyDescent="0.25"/>
    <row r="115" s="13" customFormat="1" x14ac:dyDescent="0.25"/>
    <row r="116" s="13" customFormat="1" x14ac:dyDescent="0.25"/>
    <row r="117" s="13" customFormat="1" x14ac:dyDescent="0.25"/>
    <row r="118" s="13" customFormat="1" x14ac:dyDescent="0.25"/>
    <row r="119" s="13" customFormat="1" x14ac:dyDescent="0.25"/>
    <row r="120" s="13" customFormat="1" x14ac:dyDescent="0.25"/>
    <row r="121" s="13" customFormat="1" x14ac:dyDescent="0.25"/>
    <row r="122" s="13" customFormat="1" x14ac:dyDescent="0.25"/>
    <row r="123" s="13" customFormat="1" x14ac:dyDescent="0.25"/>
    <row r="124" s="13" customFormat="1" x14ac:dyDescent="0.25"/>
    <row r="125" s="13" customFormat="1" x14ac:dyDescent="0.25"/>
    <row r="126" s="13" customFormat="1" x14ac:dyDescent="0.25"/>
    <row r="127" s="13" customFormat="1" x14ac:dyDescent="0.25"/>
    <row r="128" s="13" customFormat="1" x14ac:dyDescent="0.25"/>
    <row r="129" s="13" customFormat="1" x14ac:dyDescent="0.25"/>
    <row r="130" s="13" customFormat="1" x14ac:dyDescent="0.25"/>
    <row r="131" s="13" customFormat="1" x14ac:dyDescent="0.25"/>
    <row r="132" s="13" customFormat="1" ht="14.25" customHeight="1" x14ac:dyDescent="0.25"/>
    <row r="133" s="13" customFormat="1" x14ac:dyDescent="0.25"/>
    <row r="134" s="13" customFormat="1" x14ac:dyDescent="0.25"/>
    <row r="135" s="13" customFormat="1" x14ac:dyDescent="0.25"/>
    <row r="136" s="13" customFormat="1" x14ac:dyDescent="0.25"/>
    <row r="137" s="13" customFormat="1" x14ac:dyDescent="0.25"/>
    <row r="138" s="13" customFormat="1" x14ac:dyDescent="0.25"/>
    <row r="139" s="13" customFormat="1" x14ac:dyDescent="0.25"/>
    <row r="140" s="13" customFormat="1" x14ac:dyDescent="0.25"/>
    <row r="141" s="13" customFormat="1" x14ac:dyDescent="0.25"/>
    <row r="142" s="13" customFormat="1" x14ac:dyDescent="0.25"/>
    <row r="143" s="13" customFormat="1" x14ac:dyDescent="0.25"/>
    <row r="144" s="13" customFormat="1" x14ac:dyDescent="0.25"/>
    <row r="145" s="13" customFormat="1" x14ac:dyDescent="0.25"/>
    <row r="146" s="13" customFormat="1" x14ac:dyDescent="0.25"/>
    <row r="147" s="13" customFormat="1" x14ac:dyDescent="0.25"/>
    <row r="148" s="13" customFormat="1" x14ac:dyDescent="0.25"/>
    <row r="149" s="13" customFormat="1" x14ac:dyDescent="0.25"/>
    <row r="150" s="13" customFormat="1" x14ac:dyDescent="0.25"/>
    <row r="151" s="13" customFormat="1" x14ac:dyDescent="0.25"/>
    <row r="152" s="13" customFormat="1" x14ac:dyDescent="0.25"/>
    <row r="153" s="13" customFormat="1" x14ac:dyDescent="0.25"/>
    <row r="154" s="13" customFormat="1" x14ac:dyDescent="0.25"/>
    <row r="155" s="13" customFormat="1" x14ac:dyDescent="0.25"/>
    <row r="156" s="13" customFormat="1" x14ac:dyDescent="0.25"/>
    <row r="157" s="13" customFormat="1" x14ac:dyDescent="0.25"/>
    <row r="158" s="13" customFormat="1" x14ac:dyDescent="0.25"/>
    <row r="159" s="13" customFormat="1" x14ac:dyDescent="0.25"/>
    <row r="160" s="13" customFormat="1" x14ac:dyDescent="0.25"/>
    <row r="161" s="13" customFormat="1" x14ac:dyDescent="0.25"/>
    <row r="162" s="13" customFormat="1" x14ac:dyDescent="0.25"/>
    <row r="163" s="13" customFormat="1" x14ac:dyDescent="0.25"/>
    <row r="164" s="13" customFormat="1" x14ac:dyDescent="0.25"/>
    <row r="165" s="13" customFormat="1" x14ac:dyDescent="0.25"/>
    <row r="166" s="13" customFormat="1" x14ac:dyDescent="0.25"/>
    <row r="167" s="13" customFormat="1" x14ac:dyDescent="0.25"/>
    <row r="168" s="13" customFormat="1" x14ac:dyDescent="0.25"/>
    <row r="169" s="13" customFormat="1" x14ac:dyDescent="0.25"/>
    <row r="170" s="13" customFormat="1" x14ac:dyDescent="0.25"/>
    <row r="171" s="13" customFormat="1" x14ac:dyDescent="0.25"/>
    <row r="172" s="13" customFormat="1" x14ac:dyDescent="0.25"/>
    <row r="173" s="13" customFormat="1" x14ac:dyDescent="0.25"/>
    <row r="174" s="13" customFormat="1" x14ac:dyDescent="0.25"/>
    <row r="175" s="13" customFormat="1" x14ac:dyDescent="0.25"/>
    <row r="176" s="13" customFormat="1" x14ac:dyDescent="0.25"/>
    <row r="177" s="13" customFormat="1" x14ac:dyDescent="0.25"/>
    <row r="178" s="13" customFormat="1" x14ac:dyDescent="0.25"/>
    <row r="179" s="13" customFormat="1" x14ac:dyDescent="0.25"/>
    <row r="180" s="13" customFormat="1" x14ac:dyDescent="0.25"/>
    <row r="181" s="13" customFormat="1" x14ac:dyDescent="0.25"/>
    <row r="182" s="13" customFormat="1" x14ac:dyDescent="0.25"/>
    <row r="183" s="13" customFormat="1" x14ac:dyDescent="0.25"/>
    <row r="184" s="13" customFormat="1" x14ac:dyDescent="0.25"/>
    <row r="185" s="13" customFormat="1" x14ac:dyDescent="0.25"/>
    <row r="186" s="13" customFormat="1" x14ac:dyDescent="0.25"/>
    <row r="187" s="13" customFormat="1" x14ac:dyDescent="0.25"/>
    <row r="188" s="13" customFormat="1" x14ac:dyDescent="0.25"/>
    <row r="189" s="13" customFormat="1" x14ac:dyDescent="0.25"/>
    <row r="190" s="13" customFormat="1" x14ac:dyDescent="0.25"/>
    <row r="191" s="13" customFormat="1" x14ac:dyDescent="0.25"/>
    <row r="192" s="13" customFormat="1" x14ac:dyDescent="0.25"/>
    <row r="193" s="13" customFormat="1" x14ac:dyDescent="0.25"/>
    <row r="194" s="13" customFormat="1" x14ac:dyDescent="0.25"/>
    <row r="195" s="13" customFormat="1" x14ac:dyDescent="0.25"/>
    <row r="196" s="13" customFormat="1" x14ac:dyDescent="0.25"/>
    <row r="197" s="13" customFormat="1" x14ac:dyDescent="0.25"/>
    <row r="198" s="13" customFormat="1" x14ac:dyDescent="0.25"/>
    <row r="199" s="13" customFormat="1" x14ac:dyDescent="0.25"/>
    <row r="200" s="13" customFormat="1" x14ac:dyDescent="0.25"/>
    <row r="201" s="13" customFormat="1" x14ac:dyDescent="0.25"/>
    <row r="202" s="13" customFormat="1" x14ac:dyDescent="0.25"/>
    <row r="203" s="13" customFormat="1" x14ac:dyDescent="0.25"/>
    <row r="204" s="13" customFormat="1" x14ac:dyDescent="0.25"/>
    <row r="205" s="13" customFormat="1" x14ac:dyDescent="0.25"/>
    <row r="206" s="13" customFormat="1" x14ac:dyDescent="0.25"/>
    <row r="207" s="13" customFormat="1" x14ac:dyDescent="0.25"/>
    <row r="208" s="13" customFormat="1" x14ac:dyDescent="0.25"/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2" right="0.70866141732283472" top="0.94488188976377963" bottom="0.74803149606299213" header="0.31496062992125984" footer="0.31496062992125984"/>
  <pageSetup paperSize="1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Parte A. "Inv. al 100%"</vt:lpstr>
      <vt:lpstr>Parte B. "Infor Aprov. y Man."</vt:lpstr>
      <vt:lpstr>'Parte B. "Infor Aprov. y Man."'!Área_de_impresión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2023-08-29T15:02:32Z</dcterms:modified>
</cp:coreProperties>
</file>